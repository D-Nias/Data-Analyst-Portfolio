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d98fcb8dd443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card" sheetId="1" r:id="R3855b5d29c054d5f"/>
    <x:sheet xmlns:r="http://schemas.openxmlformats.org/officeDocument/2006/relationships" name="Member Build" sheetId="2" r:id="Racc5da04f09143ce"/>
    <x:sheet xmlns:r="http://schemas.openxmlformats.org/officeDocument/2006/relationships" name="Members" sheetId="3" r:id="R8de5bfef487141f3"/>
    <x:sheet xmlns:r="http://schemas.openxmlformats.org/officeDocument/2006/relationships" name="Events" sheetId="4" r:id="Re457e4a3d64d44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m d, yyyy"/>
    <x:numFmt numFmtId="201" formatCode="#,##0"/>
    <x:numFmt numFmtId="202" formatCode="0.0%"/>
    <x:numFmt numFmtId="203" formatCode="mm/dd/yy"/>
  </x:numFmts>
  <x:fonts count="11">
    <x:font>
      <x:sz val="11"/>
      <x:name val="Carlito"/>
    </x:font>
    <x:font>
      <x:i/>
      <x:sz val="9"/>
      <x:color rgb="FF263746"/>
      <x:name val="Arial"/>
    </x:font>
    <x:font>
      <x:b/>
      <x:sz val="16"/>
      <x:color rgb="FF18324B"/>
      <x:name val="Arial"/>
    </x:font>
    <x:font>
      <x:sz val="10"/>
      <x:color rgb="FF263746"/>
      <x:name val="Arial"/>
    </x:font>
    <x:font>
      <x:b/>
      <x:sz val="10"/>
      <x:color rgb="FFFFFFFF"/>
      <x:name val="Arial"/>
    </x:font>
    <x:font>
      <x:b/>
      <x:sz val="10"/>
      <x:color rgb="FF287271"/>
      <x:name val="Arial"/>
    </x:font>
    <x:font>
      <x:b/>
      <x:sz val="12"/>
      <x:color rgb="FF18324B"/>
      <x:name val="Arial"/>
    </x:font>
    <x:font>
      <x:b/>
      <x:sz val="10"/>
      <x:color rgb="FF263746"/>
      <x:name val="Arial"/>
    </x:font>
    <x:font>
      <x:b/>
      <x:sz val="9"/>
      <x:color rgb="FFFFFFFF"/>
      <x:name val="Arial"/>
    </x:font>
    <x:font>
      <x:sz val="9"/>
      <x:color rgb="FF263746"/>
      <x:name val="Arial"/>
    </x:font>
    <x:font>
      <x:b/>
      <x:sz val="9"/>
      <x:color rgb="FF26374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8324B"/>
      </x:patternFill>
    </x:fill>
    <x:fill>
      <x:patternFill patternType="solid">
        <x:fgColor rgb="FFE8F0F5"/>
      </x:patternFill>
    </x:fill>
    <x:fill>
      <x:patternFill patternType="solid">
        <x:fgColor rgb="FF2F6690"/>
      </x:patternFill>
    </x:fill>
    <x:fill>
      <x:patternFill patternType="solid">
        <x:fgColor rgb="FF6B7F90"/>
      </x:patternFill>
    </x:fill>
  </x:fills>
  <x:borders count="4">
    <x:border/>
    <x:border>
      <x:bottom style="thin">
        <x:color rgb="FFD5DEE5"/>
      </x:bottom>
    </x:border>
    <x:border>
      <x:top style="thin">
        <x:color rgb="FFD5DEE5"/>
      </x:top>
      <x:bottom style="thin">
        <x:color rgb="FFD5DEE5"/>
      </x:bottom>
    </x:border>
    <x:border>
      <x:top style="thin">
        <x:color rgb="FFD5DEE5"/>
      </x:top>
    </x:border>
  </x:borders>
  <x:cellStyleXfs count="1">
    <x:xf numFmtId="0" fontId="0" fillId="0" borderId="0"/>
  </x:cellStyleXfs>
  <x:cellXfs count="56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201" fontId="3" fillId="0" borderId="1" xfId="0" applyNumberFormat="1" applyFont="1" applyFill="1" applyBorder="1"/>
    <x:xf numFmtId="201" fontId="3" fillId="0" borderId="2" xfId="0" applyNumberFormat="1" applyFont="1" applyFill="1" applyBorder="1"/>
    <x:xf numFmtId="201" fontId="3" fillId="3" borderId="2" xfId="0" applyNumberFormat="1" applyFont="1" applyFill="1" applyBorder="1"/>
    <x:xf numFmtId="201" fontId="3" fillId="3" borderId="3" xfId="0" applyNumberFormat="1" applyFont="1" applyFill="1" applyBorder="1"/>
    <x:xf numFmtId="202" fontId="3" fillId="0" borderId="1" xfId="0" applyNumberFormat="1" applyFont="1" applyFill="1" applyBorder="1"/>
    <x:xf numFmtId="202" fontId="3" fillId="0" borderId="2" xfId="0" applyNumberFormat="1" applyFont="1" applyFill="1" applyBorder="1"/>
    <x:xf numFmtId="202" fontId="3" fillId="3" borderId="2" xfId="0" applyNumberFormat="1" applyFont="1" applyFill="1" applyBorder="1"/>
    <x:xf numFmtId="202" fontId="3" fillId="3" borderId="3" xfId="0" applyNumberFormat="1" applyFont="1" applyFill="1" applyBorder="1"/>
    <x:xf numFmtId="202" fontId="5" fillId="0" borderId="1" xfId="0" applyNumberFormat="1" applyFont="1" applyFill="1" applyBorder="1"/>
    <x:xf numFmtId="202" fontId="5" fillId="0" borderId="2" xfId="0" applyNumberFormat="1" applyFont="1" applyFill="1" applyBorder="1"/>
    <x:xf numFmtId="202" fontId="5" fillId="3" borderId="2" xfId="0" applyNumberFormat="1" applyFont="1" applyFill="1" applyBorder="1"/>
    <x:xf numFmtId="202" fontId="5" fillId="3" borderId="3" xfId="0" applyNumberFormat="1" applyFont="1" applyFill="1" applyBorder="1"/>
    <x:xf numFmtId="0" fontId="6" fillId="0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201" fontId="3" fillId="0" borderId="0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201" fontId="3" fillId="0" borderId="2" xfId="0" applyNumberFormat="1" applyFont="1" applyFill="1" applyBorder="1" applyAlignment="1">
      <x:alignment vertical="center"/>
    </x:xf>
    <x:xf numFmtId="202" fontId="5" fillId="0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201" fontId="3" fillId="3" borderId="2" xfId="0" applyNumberFormat="1" applyFont="1" applyFill="1" applyBorder="1" applyAlignment="1">
      <x:alignment vertical="center"/>
    </x:xf>
    <x:xf numFmtId="202" fontId="5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201" fontId="3" fillId="3" borderId="3" xfId="0" applyNumberFormat="1" applyFont="1" applyFill="1" applyBorder="1" applyAlignment="1">
      <x:alignment vertical="center"/>
    </x:xf>
    <x:xf numFmtId="202" fontId="5" fillId="3" borderId="3" xfId="0" applyNumberFormat="1" applyFont="1" applyFill="1" applyBorder="1" applyAlignment="1">
      <x:alignment vertical="center"/>
    </x:xf>
    <x:xf numFmtId="201" fontId="3" fillId="0" borderId="3" xfId="0" applyNumberFormat="1" applyFont="1" applyFill="1" applyBorder="1"/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horizont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203" fontId="9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1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2a0d7a1ac6494a" /><Relationship Type="http://schemas.openxmlformats.org/officeDocument/2006/relationships/theme" Target="/xl/theme/theme1.xml" Id="R53a1a63da5f04211" /><Relationship Type="http://schemas.openxmlformats.org/officeDocument/2006/relationships/sharedStrings" Target="/xl/sharedStrings.xml" Id="Rcb09491f910c46e1" /><Relationship Type="http://schemas.openxmlformats.org/officeDocument/2006/relationships/worksheet" Target="/xl/worksheets/sheet1.xml" Id="R3855b5d29c054d5f" /><Relationship Type="http://schemas.openxmlformats.org/officeDocument/2006/relationships/worksheet" Target="/xl/worksheets/sheet2.xml" Id="Racc5da04f09143ce" /><Relationship Type="http://schemas.openxmlformats.org/officeDocument/2006/relationships/worksheet" Target="/xl/worksheets/sheet3.xml" Id="R8de5bfef487141f3" /><Relationship Type="http://schemas.openxmlformats.org/officeDocument/2006/relationships/worksheet" Target="/xl/worksheets/sheet4.xml" Id="Re457e4a3d64d44a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62f7d07c1df4ac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enrollments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Enrollments</c:v>
          </c:tx>
          <c:cat>
            <c:strRef>
              <c:f>'Scorecard'!$G$5:$G$12</c:f>
              <c:strCache>
                <c:ptCount val="0"/>
              </c:strCache>
            </c:strRef>
          </c:cat>
          <c:val>
            <c:numRef>
              <c:f>'Scorecard'!$H$5:$H$12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2f7d07c1df4ac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embersTable" displayName="MembersTable" ref="A3:D723" headerRowCount="1" totalsRowCount="0" totalsRowShown="0">
  <x:tableColumns count="4">
    <x:tableColumn id="1" name="member_id"/>
    <x:tableColumn id="2" name="enrollment_date"/>
    <x:tableColumn id="3" name="channel"/>
    <x:tableColumn id="4" name="care_tea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entsTable" displayName="EventsTable" ref="A3:D1456" headerRowCount="1" totalsRowCount="0" totalsRowShown="0">
  <x:tableColumns count="4">
    <x:tableColumn id="1" name="event_id"/>
    <x:tableColumn id="2" name="member_id"/>
    <x:tableColumn id="3" name="event_type"/>
    <x:tableColumn id="4" name="event_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85ce0260dea4a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3a8955014a74e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071ee55b2d34a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3" hidden="0" customWidth="1"/>
    <x:col min="7" max="7" width="19" hidden="0" customWidth="1"/>
    <x:col min="8" max="8" width="14" hidden="0" customWidth="1"/>
  </x:cols>
  <x:sheetData>
    <x:row r="1">
      <x:c r="A1" s="5" t="str">
        <x:v>Member care operations scorecard</x:v>
      </x:c>
      <x:c r="B1" s="5"/>
      <x:c r="C1" s="5"/>
      <x:c r="D1" s="5"/>
      <x:c r="E1" s="5"/>
      <x:c r="F1" s="5"/>
      <x:c r="G1" s="5"/>
      <x:c r="H1" s="5"/>
    </x:row>
    <x:row r="2">
      <x:c r="A2" s="6" t="str">
        <x:v>Synthetic portfolio case study | fictional member and event records</x:v>
      </x:c>
      <x:c r="B2" s="6"/>
      <x:c r="C2" s="6"/>
      <x:c r="D2" s="6"/>
      <x:c r="E2" s="6"/>
      <x:c r="F2" s="6"/>
      <x:c r="G2" s="6"/>
      <x:c r="H2" s="6"/>
    </x:row>
    <x:row r="3">
      <x:c r="A3" s="6" t="str">
        <x:v>Snapshot date</x:v>
      </x:c>
      <x:c r="B3" s="7" t="n">
        <x:v>46295</x:v>
      </x:c>
      <x:c r="C3" s="6"/>
      <x:c r="D3" s="6"/>
      <x:c r="E3" s="6"/>
      <x:c r="F3" s="6"/>
      <x:c r="G3" s="6"/>
      <x:c r="H3" s="6"/>
    </x:row>
    <x:row r="4">
      <x:c r="G4" s="10" t="str">
        <x:v>Enrollment month</x:v>
      </x:c>
      <x:c r="H4" s="10" t="str">
        <x:v>Enrollments</x:v>
      </x:c>
    </x:row>
    <x:row r="5" ht="24" customHeight="1">
      <x:c r="A5" s="11" t="str">
        <x:v>Milestone</x:v>
      </x:c>
      <x:c r="B5" s="11" t="str">
        <x:v>Cohort</x:v>
      </x:c>
      <x:c r="C5" s="11" t="str">
        <x:v>Completed</x:v>
      </x:c>
      <x:c r="D5" s="11" t="str">
        <x:v>Eligible</x:v>
      </x:c>
      <x:c r="E5" s="11" t="str">
        <x:v>Rate</x:v>
      </x:c>
      <x:c r="G5" s="12" t="str">
        <x:v>Jan 2026</x:v>
      </x:c>
      <x:c r="H5" s="17" t="n">
        <x:f>COUNTIFS(Members!$B$4:$B$723,"&gt;="&amp;DATE(2026,1,1),Members!$B$4:$B$723,"&lt;"&amp;DATE(2026,2,1))</x:f>
        <x:v>88</x:v>
      </x:c>
    </x:row>
    <x:row r="6">
      <x:c r="A6" s="32" t="str">
        <x:v>First coach contact within 7 days</x:v>
      </x:c>
      <x:c r="B6" s="32" t="str">
        <x:v>Direct</x:v>
      </x:c>
      <x:c r="C6" s="33" t="n">
        <x:f>COUNTIFS('Member Build'!$D$4:$D$723,1,'Member Build'!$C$4:$C$723,"Direct",'Member Build'!$E$4:$E$723,1)</x:f>
        <x:v>320</x:v>
      </x:c>
      <x:c r="D6" s="33" t="n">
        <x:f>COUNTIFS('Member Build'!$D$4:$D$723,1,'Member Build'!$C$4:$C$723,"Direct")</x:f>
        <x:v>511</x:v>
      </x:c>
      <x:c r="E6" s="34" t="n">
        <x:f>IFERROR(C6/D6,0)</x:f>
        <x:v>0.6262230919765166</x:v>
      </x:c>
      <x:c r="G6" s="13" t="str">
        <x:v>Feb 2026</x:v>
      </x:c>
      <x:c r="H6" s="18" t="n">
        <x:f>COUNTIFS(Members!$B$4:$B$723,"&gt;="&amp;DATE(2026,2,1),Members!$B$4:$B$723,"&lt;"&amp;DATE(2026,3,1))</x:f>
        <x:v>89</x:v>
      </x:c>
    </x:row>
    <x:row r="7">
      <x:c r="A7" s="35" t="str">
        <x:v>First coach contact within 7 days</x:v>
      </x:c>
      <x:c r="B7" s="35" t="str">
        <x:v>Employer</x:v>
      </x:c>
      <x:c r="C7" s="36" t="n">
        <x:f>COUNTIFS('Member Build'!$D$4:$D$723,1,'Member Build'!$C$4:$C$723,"Employer",'Member Build'!$E$4:$E$723,1)</x:f>
        <x:v>122</x:v>
      </x:c>
      <x:c r="D7" s="36" t="n">
        <x:f>COUNTIFS('Member Build'!$D$4:$D$723,1,'Member Build'!$C$4:$C$723,"Employer")</x:f>
        <x:v>209</x:v>
      </x:c>
      <x:c r="E7" s="37" t="n">
        <x:f>IFERROR(C7/D7,0)</x:f>
        <x:v>0.583732057416268</x:v>
      </x:c>
      <x:c r="G7" s="13" t="str">
        <x:v>Mar 2026</x:v>
      </x:c>
      <x:c r="H7" s="18" t="n">
        <x:f>COUNTIFS(Members!$B$4:$B$723,"&gt;="&amp;DATE(2026,3,1),Members!$B$4:$B$723,"&lt;"&amp;DATE(2026,4,1))</x:f>
        <x:v>101</x:v>
      </x:c>
    </x:row>
    <x:row r="8">
      <x:c r="A8" s="38" t="str">
        <x:v>First coach contact within 7 days</x:v>
      </x:c>
      <x:c r="B8" s="38" t="str">
        <x:v>All channels</x:v>
      </x:c>
      <x:c r="C8" s="39" t="n">
        <x:f>COUNTIFS('Member Build'!$D$4:$D$723,1,'Member Build'!$E$4:$E$723,1)</x:f>
        <x:v>442</x:v>
      </x:c>
      <x:c r="D8" s="39" t="n">
        <x:f>COUNTIFS('Member Build'!$D$4:$D$723,1)</x:f>
        <x:v>720</x:v>
      </x:c>
      <x:c r="E8" s="40" t="n">
        <x:f>IFERROR(C8/D8,0)</x:f>
        <x:v>0.6138888888888889</x:v>
      </x:c>
      <x:c r="G8" s="13" t="str">
        <x:v>Apr 2026</x:v>
      </x:c>
      <x:c r="H8" s="18" t="n">
        <x:f>COUNTIFS(Members!$B$4:$B$723,"&gt;="&amp;DATE(2026,4,1),Members!$B$4:$B$723,"&lt;"&amp;DATE(2026,5,1))</x:f>
        <x:v>71</x:v>
      </x:c>
    </x:row>
    <x:row r="9">
      <x:c r="A9" s="35" t="str">
        <x:v>Day-30 check-in (days 28–37)</x:v>
      </x:c>
      <x:c r="B9" s="35" t="str">
        <x:v>Direct</x:v>
      </x:c>
      <x:c r="C9" s="36" t="n">
        <x:f>COUNTIFS('Member Build'!$F$4:$F$723,1,'Member Build'!$C$4:$C$723,"Direct",'Member Build'!$G$4:$G$723,1)</x:f>
        <x:v>335</x:v>
      </x:c>
      <x:c r="D9" s="36" t="n">
        <x:f>COUNTIFS('Member Build'!$F$4:$F$723,1,'Member Build'!$C$4:$C$723,"Direct")</x:f>
        <x:v>490</x:v>
      </x:c>
      <x:c r="E9" s="37" t="n">
        <x:f>IFERROR(C9/D9,0)</x:f>
        <x:v>0.6836734693877551</x:v>
      </x:c>
      <x:c r="G9" s="13" t="str">
        <x:v>May 2026</x:v>
      </x:c>
      <x:c r="H9" s="18" t="n">
        <x:f>COUNTIFS(Members!$B$4:$B$723,"&gt;="&amp;DATE(2026,5,1),Members!$B$4:$B$723,"&lt;"&amp;DATE(2026,6,1))</x:f>
        <x:v>100</x:v>
      </x:c>
    </x:row>
    <x:row r="10">
      <x:c r="A10" s="35" t="str">
        <x:v>Day-30 check-in (days 28–37)</x:v>
      </x:c>
      <x:c r="B10" s="35" t="str">
        <x:v>Employer</x:v>
      </x:c>
      <x:c r="C10" s="36" t="n">
        <x:f>COUNTIFS('Member Build'!$F$4:$F$723,1,'Member Build'!$C$4:$C$723,"Employer",'Member Build'!$G$4:$G$723,1)</x:f>
        <x:v>150</x:v>
      </x:c>
      <x:c r="D10" s="36" t="n">
        <x:f>COUNTIFS('Member Build'!$F$4:$F$723,1,'Member Build'!$C$4:$C$723,"Employer")</x:f>
        <x:v>201</x:v>
      </x:c>
      <x:c r="E10" s="37" t="n">
        <x:f>IFERROR(C10/D10,0)</x:f>
        <x:v>0.746268656716418</x:v>
      </x:c>
      <x:c r="G10" s="13" t="str">
        <x:v>Jun 2026</x:v>
      </x:c>
      <x:c r="H10" s="18" t="n">
        <x:f>COUNTIFS(Members!$B$4:$B$723,"&gt;="&amp;DATE(2026,6,1),Members!$B$4:$B$723,"&lt;"&amp;DATE(2026,7,1))</x:f>
        <x:v>77</x:v>
      </x:c>
    </x:row>
    <x:row r="11">
      <x:c r="A11" s="38" t="str">
        <x:v>Day-30 check-in (days 28–37)</x:v>
      </x:c>
      <x:c r="B11" s="38" t="str">
        <x:v>All channels</x:v>
      </x:c>
      <x:c r="C11" s="39" t="n">
        <x:f>COUNTIFS('Member Build'!$F$4:$F$723,1,'Member Build'!$G$4:$G$723,1)</x:f>
        <x:v>485</x:v>
      </x:c>
      <x:c r="D11" s="39" t="n">
        <x:f>COUNTIFS('Member Build'!$F$4:$F$723,1)</x:f>
        <x:v>691</x:v>
      </x:c>
      <x:c r="E11" s="40" t="n">
        <x:f>IFERROR(C11/D11,0)</x:f>
        <x:v>0.7018813314037626</x:v>
      </x:c>
      <x:c r="G11" s="13" t="str">
        <x:v>Jul 2026</x:v>
      </x:c>
      <x:c r="H11" s="18" t="n">
        <x:f>COUNTIFS(Members!$B$4:$B$723,"&gt;="&amp;DATE(2026,7,1),Members!$B$4:$B$723,"&lt;"&amp;DATE(2026,8,1))</x:f>
        <x:v>89</x:v>
      </x:c>
    </x:row>
    <x:row r="12">
      <x:c r="A12" s="35" t="str">
        <x:v>Day-60 activity (days 60–74)</x:v>
      </x:c>
      <x:c r="B12" s="35" t="str">
        <x:v>Direct</x:v>
      </x:c>
      <x:c r="C12" s="36" t="n">
        <x:f>COUNTIFS('Member Build'!$H$4:$H$723,1,'Member Build'!$C$4:$C$723,"Direct",'Member Build'!$I$4:$I$723,1)</x:f>
        <x:v>247</x:v>
      </x:c>
      <x:c r="D12" s="36" t="n">
        <x:f>COUNTIFS('Member Build'!$H$4:$H$723,1,'Member Build'!$C$4:$C$723,"Direct")</x:f>
        <x:v>403</x:v>
      </x:c>
      <x:c r="E12" s="37" t="n">
        <x:f>IFERROR(C12/D12,0)</x:f>
        <x:v>0.6129032258064516</x:v>
      </x:c>
      <x:c r="G12" s="14" t="str">
        <x:v>Aug 2026</x:v>
      </x:c>
      <x:c r="H12" s="44" t="n">
        <x:f>COUNTIFS(Members!$B$4:$B$723,"&gt;="&amp;DATE(2026,8,1),Members!$B$4:$B$723,"&lt;"&amp;DATE(2026,9,1))</x:f>
        <x:v>105</x:v>
      </x:c>
    </x:row>
    <x:row r="13">
      <x:c r="A13" s="35" t="str">
        <x:v>Day-60 activity (days 60–74)</x:v>
      </x:c>
      <x:c r="B13" s="35" t="str">
        <x:v>Employer</x:v>
      </x:c>
      <x:c r="C13" s="36" t="n">
        <x:f>COUNTIFS('Member Build'!$H$4:$H$723,1,'Member Build'!$C$4:$C$723,"Employer",'Member Build'!$I$4:$I$723,1)</x:f>
        <x:v>119</x:v>
      </x:c>
      <x:c r="D13" s="36" t="n">
        <x:f>COUNTIFS('Member Build'!$H$4:$H$723,1,'Member Build'!$C$4:$C$723,"Employer")</x:f>
        <x:v>173</x:v>
      </x:c>
      <x:c r="E13" s="37" t="n">
        <x:f>IFERROR(C13/D13,0)</x:f>
        <x:v>0.6878612716763006</x:v>
      </x:c>
    </x:row>
    <x:row r="14">
      <x:c r="A14" s="41" t="str">
        <x:v>Day-60 activity (days 60–74)</x:v>
      </x:c>
      <x:c r="B14" s="41" t="str">
        <x:v>All channels</x:v>
      </x:c>
      <x:c r="C14" s="42" t="n">
        <x:f>COUNTIFS('Member Build'!$H$4:$H$723,1,'Member Build'!$I$4:$I$723,1)</x:f>
        <x:v>366</x:v>
      </x:c>
      <x:c r="D14" s="42" t="n">
        <x:f>COUNTIFS('Member Build'!$H$4:$H$723,1)</x:f>
        <x:v>576</x:v>
      </x:c>
      <x:c r="E14" s="43" t="n">
        <x:f>IFERROR(C14/D14,0)</x:f>
        <x:v>0.6354166666666666</x:v>
      </x:c>
    </x:row>
    <x:row r="17">
      <x:c r="A17" s="29" t="str">
        <x:v>Monthly synthetic enrollments</x:v>
      </x:c>
      <x:c r="B17" s="29"/>
      <x:c r="C17" s="29"/>
      <x:c r="D17" s="29"/>
      <x:c r="E17" s="29"/>
      <x:c r="F17" s="29"/>
      <x:c r="G17" s="29"/>
      <x:c r="H17" s="29"/>
    </x:row>
    <x:row r="19" ht="30" customHeight="1">
      <x:c r="A19" s="4" t="str">
        <x:v>Eligibility uses the full observation window. Counts are illustrative and do not describe Calibrate or any real care program.</x:v>
      </x:c>
      <x:c r="B19" s="4"/>
      <x:c r="C19" s="4"/>
      <x:c r="D19" s="4"/>
      <x:c r="E19" s="4"/>
    </x:row>
  </x:sheetData>
  <x:pageMargins left="0.7" right="0.7" top="0.75" bottom="0.75" header="0.3" footer="0.3"/>
  <x:drawing xmlns:r="http://schemas.openxmlformats.org/officeDocument/2006/relationships" r:id="R685ce0260dea4a64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5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>
      <x:c r="A1" t="str">
        <x:v>Member-level KPI build | one row per synthetic enrollment</x:v>
      </x:c>
    </x:row>
    <x:row r="2">
      <x:c r="A2" t="str">
        <x:v>Event windows and cohort maturity are formula-driven from the source tabs.</x:v>
      </x:c>
    </x:row>
    <x:row r="3" ht="34" customHeight="1">
      <x:c r="A3" s="49" t="str">
        <x:v>Member ID</x:v>
      </x:c>
      <x:c r="B3" s="49" t="str">
        <x:v>Enrollment date</x:v>
      </x:c>
      <x:c r="C3" s="49" t="str">
        <x:v>Channel</x:v>
      </x:c>
      <x:c r="D3" s="49" t="str">
        <x:v>7-day eligible</x:v>
      </x:c>
      <x:c r="E3" s="49" t="str">
        <x:v>7-day contact</x:v>
      </x:c>
      <x:c r="F3" s="49" t="str">
        <x:v>Day-30 eligible</x:v>
      </x:c>
      <x:c r="G3" s="49" t="str">
        <x:v>Day-30 check-in</x:v>
      </x:c>
      <x:c r="H3" s="49" t="str">
        <x:v>Day-60 eligible</x:v>
      </x:c>
      <x:c r="I3" s="49" t="str">
        <x:v>Day-60 activity</x:v>
      </x:c>
    </x:row>
    <x:row r="4">
      <x:c r="A4" s="50" t="str">
        <x:f>Members!A4</x:f>
        <x:v>SYN0001</x:v>
      </x:c>
      <x:c r="B4" s="51" t="n">
        <x:f>Members!B4</x:f>
        <x:v>46067</x:v>
      </x:c>
      <x:c r="C4" s="50" t="str">
        <x:f>Members!C4</x:f>
        <x:v>Employer</x:v>
      </x:c>
      <x:c r="D4" s="50" t="n">
        <x:f>IF($B4&lt;='Scorecard'!$B$3-7,1,0)</x:f>
        <x:v>1</x:v>
      </x:c>
      <x:c r="E4" s="50" t="n">
        <x:f>IF(COUNTIFS(Events!$B$4:$B$1456,$A4,Events!$C$4:$C$1456,"coach_contact_completed",Events!$D$4:$D$1456,"&gt;="&amp;($B4+0),Events!$D$4:$D$1456,"&lt;="&amp;($B4+7))&gt;0,1,0)</x:f>
        <x:v>0</x:v>
      </x:c>
      <x:c r="F4" s="50" t="n">
        <x:f>IF($B4&lt;='Scorecard'!$B$3-37,1,0)</x:f>
        <x:v>1</x:v>
      </x:c>
      <x:c r="G4" s="50" t="n">
        <x:f>IF(COUNTIFS(Events!$B$4:$B$1456,$A4,Events!$C$4:$C$1456,"day30_checkin_completed",Events!$D$4:$D$1456,"&gt;="&amp;($B4+28),Events!$D$4:$D$1456,"&lt;="&amp;($B4+37))&gt;0,1,0)</x:f>
        <x:v>1</x:v>
      </x:c>
      <x:c r="H4" s="50" t="n">
        <x:f>IF($B4&lt;='Scorecard'!$B$3-74,1,0)</x:f>
        <x:v>1</x:v>
      </x:c>
      <x:c r="I4" s="50" t="n">
        <x:f>IF(COUNTIFS(Events!$B$4:$B$1456,$A4,Events!$C$4:$C$1456,"day60_activity_observed",Events!$D$4:$D$1456,"&gt;="&amp;($B4+60),Events!$D$4:$D$1456,"&lt;="&amp;($B4+74))&gt;0,1,0)</x:f>
        <x:v>1</x:v>
      </x:c>
    </x:row>
    <x:row r="5">
      <x:c r="A5" s="50" t="str">
        <x:f>Members!A5</x:f>
        <x:v>SYN0002</x:v>
      </x:c>
      <x:c r="B5" s="51" t="n">
        <x:f>Members!B5</x:f>
        <x:v>46175</x:v>
      </x:c>
      <x:c r="C5" s="50" t="str">
        <x:f>Members!C5</x:f>
        <x:v>Direct</x:v>
      </x:c>
      <x:c r="D5" s="50" t="n">
        <x:f>IF($B5&lt;='Scorecard'!$B$3-7,1,0)</x:f>
        <x:v>1</x:v>
      </x:c>
      <x:c r="E5" s="50" t="n">
        <x:f>IF(COUNTIFS(Events!$B$4:$B$1456,$A5,Events!$C$4:$C$1456,"coach_contact_completed",Events!$D$4:$D$1456,"&gt;="&amp;($B5+0),Events!$D$4:$D$1456,"&lt;="&amp;($B5+7))&gt;0,1,0)</x:f>
        <x:v>1</x:v>
      </x:c>
      <x:c r="F5" s="50" t="n">
        <x:f>IF($B5&lt;='Scorecard'!$B$3-37,1,0)</x:f>
        <x:v>1</x:v>
      </x:c>
      <x:c r="G5" s="50" t="n">
        <x:f>IF(COUNTIFS(Events!$B$4:$B$1456,$A5,Events!$C$4:$C$1456,"day30_checkin_completed",Events!$D$4:$D$1456,"&gt;="&amp;($B5+28),Events!$D$4:$D$1456,"&lt;="&amp;($B5+37))&gt;0,1,0)</x:f>
        <x:v>1</x:v>
      </x:c>
      <x:c r="H5" s="50" t="n">
        <x:f>IF($B5&lt;='Scorecard'!$B$3-74,1,0)</x:f>
        <x:v>1</x:v>
      </x:c>
      <x:c r="I5" s="50" t="n">
        <x:f>IF(COUNTIFS(Events!$B$4:$B$1456,$A5,Events!$C$4:$C$1456,"day60_activity_observed",Events!$D$4:$D$1456,"&gt;="&amp;($B5+60),Events!$D$4:$D$1456,"&lt;="&amp;($B5+74))&gt;0,1,0)</x:f>
        <x:v>1</x:v>
      </x:c>
    </x:row>
    <x:row r="6">
      <x:c r="A6" s="50" t="str">
        <x:f>Members!A6</x:f>
        <x:v>SYN0003</x:v>
      </x:c>
      <x:c r="B6" s="51" t="n">
        <x:f>Members!B6</x:f>
        <x:v>46086</x:v>
      </x:c>
      <x:c r="C6" s="50" t="str">
        <x:f>Members!C6</x:f>
        <x:v>Direct</x:v>
      </x:c>
      <x:c r="D6" s="50" t="n">
        <x:f>IF($B6&lt;='Scorecard'!$B$3-7,1,0)</x:f>
        <x:v>1</x:v>
      </x:c>
      <x:c r="E6" s="50" t="n">
        <x:f>IF(COUNTIFS(Events!$B$4:$B$1456,$A6,Events!$C$4:$C$1456,"coach_contact_completed",Events!$D$4:$D$1456,"&gt;="&amp;($B6+0),Events!$D$4:$D$1456,"&lt;="&amp;($B6+7))&gt;0,1,0)</x:f>
        <x:v>1</x:v>
      </x:c>
      <x:c r="F6" s="50" t="n">
        <x:f>IF($B6&lt;='Scorecard'!$B$3-37,1,0)</x:f>
        <x:v>1</x:v>
      </x:c>
      <x:c r="G6" s="50" t="n">
        <x:f>IF(COUNTIFS(Events!$B$4:$B$1456,$A6,Events!$C$4:$C$1456,"day30_checkin_completed",Events!$D$4:$D$1456,"&gt;="&amp;($B6+28),Events!$D$4:$D$1456,"&lt;="&amp;($B6+37))&gt;0,1,0)</x:f>
        <x:v>1</x:v>
      </x:c>
      <x:c r="H6" s="50" t="n">
        <x:f>IF($B6&lt;='Scorecard'!$B$3-74,1,0)</x:f>
        <x:v>1</x:v>
      </x:c>
      <x:c r="I6" s="50" t="n">
        <x:f>IF(COUNTIFS(Events!$B$4:$B$1456,$A6,Events!$C$4:$C$1456,"day60_activity_observed",Events!$D$4:$D$1456,"&gt;="&amp;($B6+60),Events!$D$4:$D$1456,"&lt;="&amp;($B6+74))&gt;0,1,0)</x:f>
        <x:v>1</x:v>
      </x:c>
    </x:row>
    <x:row r="7">
      <x:c r="A7" s="50" t="str">
        <x:f>Members!A7</x:f>
        <x:v>SYN0004</x:v>
      </x:c>
      <x:c r="B7" s="51" t="n">
        <x:f>Members!B7</x:f>
        <x:v>46209</x:v>
      </x:c>
      <x:c r="C7" s="50" t="str">
        <x:f>Members!C7</x:f>
        <x:v>Direct</x:v>
      </x:c>
      <x:c r="D7" s="50" t="n">
        <x:f>IF($B7&lt;='Scorecard'!$B$3-7,1,0)</x:f>
        <x:v>1</x:v>
      </x:c>
      <x:c r="E7" s="50" t="n">
        <x:f>IF(COUNTIFS(Events!$B$4:$B$1456,$A7,Events!$C$4:$C$1456,"coach_contact_completed",Events!$D$4:$D$1456,"&gt;="&amp;($B7+0),Events!$D$4:$D$1456,"&lt;="&amp;($B7+7))&gt;0,1,0)</x:f>
        <x:v>1</x:v>
      </x:c>
      <x:c r="F7" s="50" t="n">
        <x:f>IF($B7&lt;='Scorecard'!$B$3-37,1,0)</x:f>
        <x:v>1</x:v>
      </x:c>
      <x:c r="G7" s="50" t="n">
        <x:f>IF(COUNTIFS(Events!$B$4:$B$1456,$A7,Events!$C$4:$C$1456,"day30_checkin_completed",Events!$D$4:$D$1456,"&gt;="&amp;($B7+28),Events!$D$4:$D$1456,"&lt;="&amp;($B7+37))&gt;0,1,0)</x:f>
        <x:v>0</x:v>
      </x:c>
      <x:c r="H7" s="50" t="n">
        <x:f>IF($B7&lt;='Scorecard'!$B$3-74,1,0)</x:f>
        <x:v>1</x:v>
      </x:c>
      <x:c r="I7" s="50" t="n">
        <x:f>IF(COUNTIFS(Events!$B$4:$B$1456,$A7,Events!$C$4:$C$1456,"day60_activity_observed",Events!$D$4:$D$1456,"&gt;="&amp;($B7+60),Events!$D$4:$D$1456,"&lt;="&amp;($B7+74))&gt;0,1,0)</x:f>
        <x:v>0</x:v>
      </x:c>
    </x:row>
    <x:row r="8">
      <x:c r="A8" s="50" t="str">
        <x:f>Members!A8</x:f>
        <x:v>SYN0005</x:v>
      </x:c>
      <x:c r="B8" s="51" t="n">
        <x:f>Members!B8</x:f>
        <x:v>46106</x:v>
      </x:c>
      <x:c r="C8" s="50" t="str">
        <x:f>Members!C8</x:f>
        <x:v>Direct</x:v>
      </x:c>
      <x:c r="D8" s="50" t="n">
        <x:f>IF($B8&lt;='Scorecard'!$B$3-7,1,0)</x:f>
        <x:v>1</x:v>
      </x:c>
      <x:c r="E8" s="50" t="n">
        <x:f>IF(COUNTIFS(Events!$B$4:$B$1456,$A8,Events!$C$4:$C$1456,"coach_contact_completed",Events!$D$4:$D$1456,"&gt;="&amp;($B8+0),Events!$D$4:$D$1456,"&lt;="&amp;($B8+7))&gt;0,1,0)</x:f>
        <x:v>0</x:v>
      </x:c>
      <x:c r="F8" s="50" t="n">
        <x:f>IF($B8&lt;='Scorecard'!$B$3-37,1,0)</x:f>
        <x:v>1</x:v>
      </x:c>
      <x:c r="G8" s="50" t="n">
        <x:f>IF(COUNTIFS(Events!$B$4:$B$1456,$A8,Events!$C$4:$C$1456,"day30_checkin_completed",Events!$D$4:$D$1456,"&gt;="&amp;($B8+28),Events!$D$4:$D$1456,"&lt;="&amp;($B8+37))&gt;0,1,0)</x:f>
        <x:v>1</x:v>
      </x:c>
      <x:c r="H8" s="50" t="n">
        <x:f>IF($B8&lt;='Scorecard'!$B$3-74,1,0)</x:f>
        <x:v>1</x:v>
      </x:c>
      <x:c r="I8" s="50" t="n">
        <x:f>IF(COUNTIFS(Events!$B$4:$B$1456,$A8,Events!$C$4:$C$1456,"day60_activity_observed",Events!$D$4:$D$1456,"&gt;="&amp;($B8+60),Events!$D$4:$D$1456,"&lt;="&amp;($B8+74))&gt;0,1,0)</x:f>
        <x:v>1</x:v>
      </x:c>
    </x:row>
    <x:row r="9">
      <x:c r="A9" s="50" t="str">
        <x:f>Members!A9</x:f>
        <x:v>SYN0006</x:v>
      </x:c>
      <x:c r="B9" s="51" t="n">
        <x:f>Members!B9</x:f>
        <x:v>46162</x:v>
      </x:c>
      <x:c r="C9" s="50" t="str">
        <x:f>Members!C9</x:f>
        <x:v>Direct</x:v>
      </x:c>
      <x:c r="D9" s="50" t="n">
        <x:f>IF($B9&lt;='Scorecard'!$B$3-7,1,0)</x:f>
        <x:v>1</x:v>
      </x:c>
      <x:c r="E9" s="50" t="n">
        <x:f>IF(COUNTIFS(Events!$B$4:$B$1456,$A9,Events!$C$4:$C$1456,"coach_contact_completed",Events!$D$4:$D$1456,"&gt;="&amp;($B9+0),Events!$D$4:$D$1456,"&lt;="&amp;($B9+7))&gt;0,1,0)</x:f>
        <x:v>1</x:v>
      </x:c>
      <x:c r="F9" s="50" t="n">
        <x:f>IF($B9&lt;='Scorecard'!$B$3-37,1,0)</x:f>
        <x:v>1</x:v>
      </x:c>
      <x:c r="G9" s="50" t="n">
        <x:f>IF(COUNTIFS(Events!$B$4:$B$1456,$A9,Events!$C$4:$C$1456,"day30_checkin_completed",Events!$D$4:$D$1456,"&gt;="&amp;($B9+28),Events!$D$4:$D$1456,"&lt;="&amp;($B9+37))&gt;0,1,0)</x:f>
        <x:v>1</x:v>
      </x:c>
      <x:c r="H9" s="50" t="n">
        <x:f>IF($B9&lt;='Scorecard'!$B$3-74,1,0)</x:f>
        <x:v>1</x:v>
      </x:c>
      <x:c r="I9" s="50" t="n">
        <x:f>IF(COUNTIFS(Events!$B$4:$B$1456,$A9,Events!$C$4:$C$1456,"day60_activity_observed",Events!$D$4:$D$1456,"&gt;="&amp;($B9+60),Events!$D$4:$D$1456,"&lt;="&amp;($B9+74))&gt;0,1,0)</x:f>
        <x:v>1</x:v>
      </x:c>
    </x:row>
    <x:row r="10">
      <x:c r="A10" s="50" t="str">
        <x:f>Members!A10</x:f>
        <x:v>SYN0007</x:v>
      </x:c>
      <x:c r="B10" s="51" t="n">
        <x:f>Members!B10</x:f>
        <x:v>46205</x:v>
      </x:c>
      <x:c r="C10" s="50" t="str">
        <x:f>Members!C10</x:f>
        <x:v>Direct</x:v>
      </x:c>
      <x:c r="D10" s="50" t="n">
        <x:f>IF($B10&lt;='Scorecard'!$B$3-7,1,0)</x:f>
        <x:v>1</x:v>
      </x:c>
      <x:c r="E10" s="50" t="n">
        <x:f>IF(COUNTIFS(Events!$B$4:$B$1456,$A10,Events!$C$4:$C$1456,"coach_contact_completed",Events!$D$4:$D$1456,"&gt;="&amp;($B10+0),Events!$D$4:$D$1456,"&lt;="&amp;($B10+7))&gt;0,1,0)</x:f>
        <x:v>1</x:v>
      </x:c>
      <x:c r="F10" s="50" t="n">
        <x:f>IF($B10&lt;='Scorecard'!$B$3-37,1,0)</x:f>
        <x:v>1</x:v>
      </x:c>
      <x:c r="G10" s="50" t="n">
        <x:f>IF(COUNTIFS(Events!$B$4:$B$1456,$A10,Events!$C$4:$C$1456,"day30_checkin_completed",Events!$D$4:$D$1456,"&gt;="&amp;($B10+28),Events!$D$4:$D$1456,"&lt;="&amp;($B10+37))&gt;0,1,0)</x:f>
        <x:v>0</x:v>
      </x:c>
      <x:c r="H10" s="50" t="n">
        <x:f>IF($B10&lt;='Scorecard'!$B$3-74,1,0)</x:f>
        <x:v>1</x:v>
      </x:c>
      <x:c r="I10" s="50" t="n">
        <x:f>IF(COUNTIFS(Events!$B$4:$B$1456,$A10,Events!$C$4:$C$1456,"day60_activity_observed",Events!$D$4:$D$1456,"&gt;="&amp;($B10+60),Events!$D$4:$D$1456,"&lt;="&amp;($B10+74))&gt;0,1,0)</x:f>
        <x:v>0</x:v>
      </x:c>
    </x:row>
    <x:row r="11">
      <x:c r="A11" s="50" t="str">
        <x:f>Members!A11</x:f>
        <x:v>SYN0008</x:v>
      </x:c>
      <x:c r="B11" s="51" t="n">
        <x:f>Members!B11</x:f>
        <x:v>46259</x:v>
      </x:c>
      <x:c r="C11" s="50" t="str">
        <x:f>Members!C11</x:f>
        <x:v>Direct</x:v>
      </x:c>
      <x:c r="D11" s="50" t="n">
        <x:f>IF($B11&lt;='Scorecard'!$B$3-7,1,0)</x:f>
        <x:v>1</x:v>
      </x:c>
      <x:c r="E11" s="50" t="n">
        <x:f>IF(COUNTIFS(Events!$B$4:$B$1456,$A11,Events!$C$4:$C$1456,"coach_contact_completed",Events!$D$4:$D$1456,"&gt;="&amp;($B11+0),Events!$D$4:$D$1456,"&lt;="&amp;($B11+7))&gt;0,1,0)</x:f>
        <x:v>0</x:v>
      </x:c>
      <x:c r="F11" s="50" t="n">
        <x:f>IF($B11&lt;='Scorecard'!$B$3-37,1,0)</x:f>
        <x:v>0</x:v>
      </x:c>
      <x:c r="G11" s="50" t="n">
        <x:f>IF(COUNTIFS(Events!$B$4:$B$1456,$A11,Events!$C$4:$C$1456,"day30_checkin_completed",Events!$D$4:$D$1456,"&gt;="&amp;($B11+28),Events!$D$4:$D$1456,"&lt;="&amp;($B11+37))&gt;0,1,0)</x:f>
        <x:v>1</x:v>
      </x:c>
      <x:c r="H11" s="50" t="n">
        <x:f>IF($B11&lt;='Scorecard'!$B$3-74,1,0)</x:f>
        <x:v>0</x:v>
      </x:c>
      <x:c r="I11" s="50" t="n">
        <x:f>IF(COUNTIFS(Events!$B$4:$B$1456,$A11,Events!$C$4:$C$1456,"day60_activity_observed",Events!$D$4:$D$1456,"&gt;="&amp;($B11+60),Events!$D$4:$D$1456,"&lt;="&amp;($B11+74))&gt;0,1,0)</x:f>
        <x:v>0</x:v>
      </x:c>
    </x:row>
    <x:row r="12">
      <x:c r="A12" s="50" t="str">
        <x:f>Members!A12</x:f>
        <x:v>SYN0009</x:v>
      </x:c>
      <x:c r="B12" s="51" t="n">
        <x:f>Members!B12</x:f>
        <x:v>46246</x:v>
      </x:c>
      <x:c r="C12" s="50" t="str">
        <x:f>Members!C12</x:f>
        <x:v>Direct</x:v>
      </x:c>
      <x:c r="D12" s="50" t="n">
        <x:f>IF($B12&lt;='Scorecard'!$B$3-7,1,0)</x:f>
        <x:v>1</x:v>
      </x:c>
      <x:c r="E12" s="50" t="n">
        <x:f>IF(COUNTIFS(Events!$B$4:$B$1456,$A12,Events!$C$4:$C$1456,"coach_contact_completed",Events!$D$4:$D$1456,"&gt;="&amp;($B12+0),Events!$D$4:$D$1456,"&lt;="&amp;($B12+7))&gt;0,1,0)</x:f>
        <x:v>0</x:v>
      </x:c>
      <x:c r="F12" s="50" t="n">
        <x:f>IF($B12&lt;='Scorecard'!$B$3-37,1,0)</x:f>
        <x:v>1</x:v>
      </x:c>
      <x:c r="G12" s="50" t="n">
        <x:f>IF(COUNTIFS(Events!$B$4:$B$1456,$A12,Events!$C$4:$C$1456,"day30_checkin_completed",Events!$D$4:$D$1456,"&gt;="&amp;($B12+28),Events!$D$4:$D$1456,"&lt;="&amp;($B12+37))&gt;0,1,0)</x:f>
        <x:v>0</x:v>
      </x:c>
      <x:c r="H12" s="50" t="n">
        <x:f>IF($B12&lt;='Scorecard'!$B$3-74,1,0)</x:f>
        <x:v>0</x:v>
      </x:c>
      <x:c r="I12" s="50" t="n">
        <x:f>IF(COUNTIFS(Events!$B$4:$B$1456,$A12,Events!$C$4:$C$1456,"day60_activity_observed",Events!$D$4:$D$1456,"&gt;="&amp;($B12+60),Events!$D$4:$D$1456,"&lt;="&amp;($B12+74))&gt;0,1,0)</x:f>
        <x:v>0</x:v>
      </x:c>
    </x:row>
    <x:row r="13">
      <x:c r="A13" s="50" t="str">
        <x:f>Members!A13</x:f>
        <x:v>SYN0010</x:v>
      </x:c>
      <x:c r="B13" s="51" t="n">
        <x:f>Members!B13</x:f>
        <x:v>46098</x:v>
      </x:c>
      <x:c r="C13" s="50" t="str">
        <x:f>Members!C13</x:f>
        <x:v>Direct</x:v>
      </x:c>
      <x:c r="D13" s="50" t="n">
        <x:f>IF($B13&lt;='Scorecard'!$B$3-7,1,0)</x:f>
        <x:v>1</x:v>
      </x:c>
      <x:c r="E13" s="50" t="n">
        <x:f>IF(COUNTIFS(Events!$B$4:$B$1456,$A13,Events!$C$4:$C$1456,"coach_contact_completed",Events!$D$4:$D$1456,"&gt;="&amp;($B13+0),Events!$D$4:$D$1456,"&lt;="&amp;($B13+7))&gt;0,1,0)</x:f>
        <x:v>1</x:v>
      </x:c>
      <x:c r="F13" s="50" t="n">
        <x:f>IF($B13&lt;='Scorecard'!$B$3-37,1,0)</x:f>
        <x:v>1</x:v>
      </x:c>
      <x:c r="G13" s="50" t="n">
        <x:f>IF(COUNTIFS(Events!$B$4:$B$1456,$A13,Events!$C$4:$C$1456,"day30_checkin_completed",Events!$D$4:$D$1456,"&gt;="&amp;($B13+28),Events!$D$4:$D$1456,"&lt;="&amp;($B13+37))&gt;0,1,0)</x:f>
        <x:v>0</x:v>
      </x:c>
      <x:c r="H13" s="50" t="n">
        <x:f>IF($B13&lt;='Scorecard'!$B$3-74,1,0)</x:f>
        <x:v>1</x:v>
      </x:c>
      <x:c r="I13" s="50" t="n">
        <x:f>IF(COUNTIFS(Events!$B$4:$B$1456,$A13,Events!$C$4:$C$1456,"day60_activity_observed",Events!$D$4:$D$1456,"&gt;="&amp;($B13+60),Events!$D$4:$D$1456,"&lt;="&amp;($B13+74))&gt;0,1,0)</x:f>
        <x:v>1</x:v>
      </x:c>
    </x:row>
    <x:row r="14">
      <x:c r="A14" s="50" t="str">
        <x:f>Members!A14</x:f>
        <x:v>SYN0011</x:v>
      </x:c>
      <x:c r="B14" s="51" t="n">
        <x:f>Members!B14</x:f>
        <x:v>46038</x:v>
      </x:c>
      <x:c r="C14" s="50" t="str">
        <x:f>Members!C14</x:f>
        <x:v>Direct</x:v>
      </x:c>
      <x:c r="D14" s="50" t="n">
        <x:f>IF($B14&lt;='Scorecard'!$B$3-7,1,0)</x:f>
        <x:v>1</x:v>
      </x:c>
      <x:c r="E14" s="50" t="n">
        <x:f>IF(COUNTIFS(Events!$B$4:$B$1456,$A14,Events!$C$4:$C$1456,"coach_contact_completed",Events!$D$4:$D$1456,"&gt;="&amp;($B14+0),Events!$D$4:$D$1456,"&lt;="&amp;($B14+7))&gt;0,1,0)</x:f>
        <x:v>1</x:v>
      </x:c>
      <x:c r="F14" s="50" t="n">
        <x:f>IF($B14&lt;='Scorecard'!$B$3-37,1,0)</x:f>
        <x:v>1</x:v>
      </x:c>
      <x:c r="G14" s="50" t="n">
        <x:f>IF(COUNTIFS(Events!$B$4:$B$1456,$A14,Events!$C$4:$C$1456,"day30_checkin_completed",Events!$D$4:$D$1456,"&gt;="&amp;($B14+28),Events!$D$4:$D$1456,"&lt;="&amp;($B14+37))&gt;0,1,0)</x:f>
        <x:v>1</x:v>
      </x:c>
      <x:c r="H14" s="50" t="n">
        <x:f>IF($B14&lt;='Scorecard'!$B$3-74,1,0)</x:f>
        <x:v>1</x:v>
      </x:c>
      <x:c r="I14" s="50" t="n">
        <x:f>IF(COUNTIFS(Events!$B$4:$B$1456,$A14,Events!$C$4:$C$1456,"day60_activity_observed",Events!$D$4:$D$1456,"&gt;="&amp;($B14+60),Events!$D$4:$D$1456,"&lt;="&amp;($B14+74))&gt;0,1,0)</x:f>
        <x:v>0</x:v>
      </x:c>
    </x:row>
    <x:row r="15">
      <x:c r="A15" s="50" t="str">
        <x:f>Members!A15</x:f>
        <x:v>SYN0012</x:v>
      </x:c>
      <x:c r="B15" s="51" t="n">
        <x:f>Members!B15</x:f>
        <x:v>46026</x:v>
      </x:c>
      <x:c r="C15" s="50" t="str">
        <x:f>Members!C15</x:f>
        <x:v>Employer</x:v>
      </x:c>
      <x:c r="D15" s="50" t="n">
        <x:f>IF($B15&lt;='Scorecard'!$B$3-7,1,0)</x:f>
        <x:v>1</x:v>
      </x:c>
      <x:c r="E15" s="50" t="n">
        <x:f>IF(COUNTIFS(Events!$B$4:$B$1456,$A15,Events!$C$4:$C$1456,"coach_contact_completed",Events!$D$4:$D$1456,"&gt;="&amp;($B15+0),Events!$D$4:$D$1456,"&lt;="&amp;($B15+7))&gt;0,1,0)</x:f>
        <x:v>1</x:v>
      </x:c>
      <x:c r="F15" s="50" t="n">
        <x:f>IF($B15&lt;='Scorecard'!$B$3-37,1,0)</x:f>
        <x:v>1</x:v>
      </x:c>
      <x:c r="G15" s="50" t="n">
        <x:f>IF(COUNTIFS(Events!$B$4:$B$1456,$A15,Events!$C$4:$C$1456,"day30_checkin_completed",Events!$D$4:$D$1456,"&gt;="&amp;($B15+28),Events!$D$4:$D$1456,"&lt;="&amp;($B15+37))&gt;0,1,0)</x:f>
        <x:v>1</x:v>
      </x:c>
      <x:c r="H15" s="50" t="n">
        <x:f>IF($B15&lt;='Scorecard'!$B$3-74,1,0)</x:f>
        <x:v>1</x:v>
      </x:c>
      <x:c r="I15" s="50" t="n">
        <x:f>IF(COUNTIFS(Events!$B$4:$B$1456,$A15,Events!$C$4:$C$1456,"day60_activity_observed",Events!$D$4:$D$1456,"&gt;="&amp;($B15+60),Events!$D$4:$D$1456,"&lt;="&amp;($B15+74))&gt;0,1,0)</x:f>
        <x:v>0</x:v>
      </x:c>
    </x:row>
    <x:row r="16">
      <x:c r="A16" s="50" t="str">
        <x:f>Members!A16</x:f>
        <x:v>SYN0013</x:v>
      </x:c>
      <x:c r="B16" s="51" t="n">
        <x:f>Members!B16</x:f>
        <x:v>46100</x:v>
      </x:c>
      <x:c r="C16" s="50" t="str">
        <x:f>Members!C16</x:f>
        <x:v>Direct</x:v>
      </x:c>
      <x:c r="D16" s="50" t="n">
        <x:f>IF($B16&lt;='Scorecard'!$B$3-7,1,0)</x:f>
        <x:v>1</x:v>
      </x:c>
      <x:c r="E16" s="50" t="n">
        <x:f>IF(COUNTIFS(Events!$B$4:$B$1456,$A16,Events!$C$4:$C$1456,"coach_contact_completed",Events!$D$4:$D$1456,"&gt;="&amp;($B16+0),Events!$D$4:$D$1456,"&lt;="&amp;($B16+7))&gt;0,1,0)</x:f>
        <x:v>1</x:v>
      </x:c>
      <x:c r="F16" s="50" t="n">
        <x:f>IF($B16&lt;='Scorecard'!$B$3-37,1,0)</x:f>
        <x:v>1</x:v>
      </x:c>
      <x:c r="G16" s="50" t="n">
        <x:f>IF(COUNTIFS(Events!$B$4:$B$1456,$A16,Events!$C$4:$C$1456,"day30_checkin_completed",Events!$D$4:$D$1456,"&gt;="&amp;($B16+28),Events!$D$4:$D$1456,"&lt;="&amp;($B16+37))&gt;0,1,0)</x:f>
        <x:v>0</x:v>
      </x:c>
      <x:c r="H16" s="50" t="n">
        <x:f>IF($B16&lt;='Scorecard'!$B$3-74,1,0)</x:f>
        <x:v>1</x:v>
      </x:c>
      <x:c r="I16" s="50" t="n">
        <x:f>IF(COUNTIFS(Events!$B$4:$B$1456,$A16,Events!$C$4:$C$1456,"day60_activity_observed",Events!$D$4:$D$1456,"&gt;="&amp;($B16+60),Events!$D$4:$D$1456,"&lt;="&amp;($B16+74))&gt;0,1,0)</x:f>
        <x:v>0</x:v>
      </x:c>
    </x:row>
    <x:row r="17">
      <x:c r="A17" s="50" t="str">
        <x:f>Members!A17</x:f>
        <x:v>SYN0014</x:v>
      </x:c>
      <x:c r="B17" s="51" t="n">
        <x:f>Members!B17</x:f>
        <x:v>46193</x:v>
      </x:c>
      <x:c r="C17" s="50" t="str">
        <x:f>Members!C17</x:f>
        <x:v>Employer</x:v>
      </x:c>
      <x:c r="D17" s="50" t="n">
        <x:f>IF($B17&lt;='Scorecard'!$B$3-7,1,0)</x:f>
        <x:v>1</x:v>
      </x:c>
      <x:c r="E17" s="50" t="n">
        <x:f>IF(COUNTIFS(Events!$B$4:$B$1456,$A17,Events!$C$4:$C$1456,"coach_contact_completed",Events!$D$4:$D$1456,"&gt;="&amp;($B17+0),Events!$D$4:$D$1456,"&lt;="&amp;($B17+7))&gt;0,1,0)</x:f>
        <x:v>1</x:v>
      </x:c>
      <x:c r="F17" s="50" t="n">
        <x:f>IF($B17&lt;='Scorecard'!$B$3-37,1,0)</x:f>
        <x:v>1</x:v>
      </x:c>
      <x:c r="G17" s="50" t="n">
        <x:f>IF(COUNTIFS(Events!$B$4:$B$1456,$A17,Events!$C$4:$C$1456,"day30_checkin_completed",Events!$D$4:$D$1456,"&gt;="&amp;($B17+28),Events!$D$4:$D$1456,"&lt;="&amp;($B17+37))&gt;0,1,0)</x:f>
        <x:v>0</x:v>
      </x:c>
      <x:c r="H17" s="50" t="n">
        <x:f>IF($B17&lt;='Scorecard'!$B$3-74,1,0)</x:f>
        <x:v>1</x:v>
      </x:c>
      <x:c r="I17" s="50" t="n">
        <x:f>IF(COUNTIFS(Events!$B$4:$B$1456,$A17,Events!$C$4:$C$1456,"day60_activity_observed",Events!$D$4:$D$1456,"&gt;="&amp;($B17+60),Events!$D$4:$D$1456,"&lt;="&amp;($B17+74))&gt;0,1,0)</x:f>
        <x:v>1</x:v>
      </x:c>
    </x:row>
    <x:row r="18">
      <x:c r="A18" s="50" t="str">
        <x:f>Members!A18</x:f>
        <x:v>SYN0015</x:v>
      </x:c>
      <x:c r="B18" s="51" t="n">
        <x:f>Members!B18</x:f>
        <x:v>46243</x:v>
      </x:c>
      <x:c r="C18" s="50" t="str">
        <x:f>Members!C18</x:f>
        <x:v>Direct</x:v>
      </x:c>
      <x:c r="D18" s="50" t="n">
        <x:f>IF($B18&lt;='Scorecard'!$B$3-7,1,0)</x:f>
        <x:v>1</x:v>
      </x:c>
      <x:c r="E18" s="50" t="n">
        <x:f>IF(COUNTIFS(Events!$B$4:$B$1456,$A18,Events!$C$4:$C$1456,"coach_contact_completed",Events!$D$4:$D$1456,"&gt;="&amp;($B18+0),Events!$D$4:$D$1456,"&lt;="&amp;($B18+7))&gt;0,1,0)</x:f>
        <x:v>1</x:v>
      </x:c>
      <x:c r="F18" s="50" t="n">
        <x:f>IF($B18&lt;='Scorecard'!$B$3-37,1,0)</x:f>
        <x:v>1</x:v>
      </x:c>
      <x:c r="G18" s="50" t="n">
        <x:f>IF(COUNTIFS(Events!$B$4:$B$1456,$A18,Events!$C$4:$C$1456,"day30_checkin_completed",Events!$D$4:$D$1456,"&gt;="&amp;($B18+28),Events!$D$4:$D$1456,"&lt;="&amp;($B18+37))&gt;0,1,0)</x:f>
        <x:v>1</x:v>
      </x:c>
      <x:c r="H18" s="50" t="n">
        <x:f>IF($B18&lt;='Scorecard'!$B$3-74,1,0)</x:f>
        <x:v>0</x:v>
      </x:c>
      <x:c r="I18" s="50" t="n">
        <x:f>IF(COUNTIFS(Events!$B$4:$B$1456,$A18,Events!$C$4:$C$1456,"day60_activity_observed",Events!$D$4:$D$1456,"&gt;="&amp;($B18+60),Events!$D$4:$D$1456,"&lt;="&amp;($B18+74))&gt;0,1,0)</x:f>
        <x:v>0</x:v>
      </x:c>
    </x:row>
    <x:row r="19">
      <x:c r="A19" s="50" t="str">
        <x:f>Members!A19</x:f>
        <x:v>SYN0016</x:v>
      </x:c>
      <x:c r="B19" s="51" t="n">
        <x:f>Members!B19</x:f>
        <x:v>46234</x:v>
      </x:c>
      <x:c r="C19" s="50" t="str">
        <x:f>Members!C19</x:f>
        <x:v>Direct</x:v>
      </x:c>
      <x:c r="D19" s="50" t="n">
        <x:f>IF($B19&lt;='Scorecard'!$B$3-7,1,0)</x:f>
        <x:v>1</x:v>
      </x:c>
      <x:c r="E19" s="50" t="n">
        <x:f>IF(COUNTIFS(Events!$B$4:$B$1456,$A19,Events!$C$4:$C$1456,"coach_contact_completed",Events!$D$4:$D$1456,"&gt;="&amp;($B19+0),Events!$D$4:$D$1456,"&lt;="&amp;($B19+7))&gt;0,1,0)</x:f>
        <x:v>1</x:v>
      </x:c>
      <x:c r="F19" s="50" t="n">
        <x:f>IF($B19&lt;='Scorecard'!$B$3-37,1,0)</x:f>
        <x:v>1</x:v>
      </x:c>
      <x:c r="G19" s="50" t="n">
        <x:f>IF(COUNTIFS(Events!$B$4:$B$1456,$A19,Events!$C$4:$C$1456,"day30_checkin_completed",Events!$D$4:$D$1456,"&gt;="&amp;($B19+28),Events!$D$4:$D$1456,"&lt;="&amp;($B19+37))&gt;0,1,0)</x:f>
        <x:v>1</x:v>
      </x:c>
      <x:c r="H19" s="50" t="n">
        <x:f>IF($B19&lt;='Scorecard'!$B$3-74,1,0)</x:f>
        <x:v>0</x:v>
      </x:c>
      <x:c r="I19" s="50" t="n">
        <x:f>IF(COUNTIFS(Events!$B$4:$B$1456,$A19,Events!$C$4:$C$1456,"day60_activity_observed",Events!$D$4:$D$1456,"&gt;="&amp;($B19+60),Events!$D$4:$D$1456,"&lt;="&amp;($B19+74))&gt;0,1,0)</x:f>
        <x:v>0</x:v>
      </x:c>
    </x:row>
    <x:row r="20">
      <x:c r="A20" s="50" t="str">
        <x:f>Members!A20</x:f>
        <x:v>SYN0017</x:v>
      </x:c>
      <x:c r="B20" s="51" t="n">
        <x:f>Members!B20</x:f>
        <x:v>46261</x:v>
      </x:c>
      <x:c r="C20" s="50" t="str">
        <x:f>Members!C20</x:f>
        <x:v>Direct</x:v>
      </x:c>
      <x:c r="D20" s="50" t="n">
        <x:f>IF($B20&lt;='Scorecard'!$B$3-7,1,0)</x:f>
        <x:v>1</x:v>
      </x:c>
      <x:c r="E20" s="50" t="n">
        <x:f>IF(COUNTIFS(Events!$B$4:$B$1456,$A20,Events!$C$4:$C$1456,"coach_contact_completed",Events!$D$4:$D$1456,"&gt;="&amp;($B20+0),Events!$D$4:$D$1456,"&lt;="&amp;($B20+7))&gt;0,1,0)</x:f>
        <x:v>1</x:v>
      </x:c>
      <x:c r="F20" s="50" t="n">
        <x:f>IF($B20&lt;='Scorecard'!$B$3-37,1,0)</x:f>
        <x:v>0</x:v>
      </x:c>
      <x:c r="G20" s="50" t="n">
        <x:f>IF(COUNTIFS(Events!$B$4:$B$1456,$A20,Events!$C$4:$C$1456,"day30_checkin_completed",Events!$D$4:$D$1456,"&gt;="&amp;($B20+28),Events!$D$4:$D$1456,"&lt;="&amp;($B20+37))&gt;0,1,0)</x:f>
        <x:v>0</x:v>
      </x:c>
      <x:c r="H20" s="50" t="n">
        <x:f>IF($B20&lt;='Scorecard'!$B$3-74,1,0)</x:f>
        <x:v>0</x:v>
      </x:c>
      <x:c r="I20" s="50" t="n">
        <x:f>IF(COUNTIFS(Events!$B$4:$B$1456,$A20,Events!$C$4:$C$1456,"day60_activity_observed",Events!$D$4:$D$1456,"&gt;="&amp;($B20+60),Events!$D$4:$D$1456,"&lt;="&amp;($B20+74))&gt;0,1,0)</x:f>
        <x:v>0</x:v>
      </x:c>
    </x:row>
    <x:row r="21">
      <x:c r="A21" s="50" t="str">
        <x:f>Members!A21</x:f>
        <x:v>SYN0018</x:v>
      </x:c>
      <x:c r="B21" s="51" t="n">
        <x:f>Members!B21</x:f>
        <x:v>46238</x:v>
      </x:c>
      <x:c r="C21" s="50" t="str">
        <x:f>Members!C21</x:f>
        <x:v>Direct</x:v>
      </x:c>
      <x:c r="D21" s="50" t="n">
        <x:f>IF($B21&lt;='Scorecard'!$B$3-7,1,0)</x:f>
        <x:v>1</x:v>
      </x:c>
      <x:c r="E21" s="50" t="n">
        <x:f>IF(COUNTIFS(Events!$B$4:$B$1456,$A21,Events!$C$4:$C$1456,"coach_contact_completed",Events!$D$4:$D$1456,"&gt;="&amp;($B21+0),Events!$D$4:$D$1456,"&lt;="&amp;($B21+7))&gt;0,1,0)</x:f>
        <x:v>1</x:v>
      </x:c>
      <x:c r="F21" s="50" t="n">
        <x:f>IF($B21&lt;='Scorecard'!$B$3-37,1,0)</x:f>
        <x:v>1</x:v>
      </x:c>
      <x:c r="G21" s="50" t="n">
        <x:f>IF(COUNTIFS(Events!$B$4:$B$1456,$A21,Events!$C$4:$C$1456,"day30_checkin_completed",Events!$D$4:$D$1456,"&gt;="&amp;($B21+28),Events!$D$4:$D$1456,"&lt;="&amp;($B21+37))&gt;0,1,0)</x:f>
        <x:v>1</x:v>
      </x:c>
      <x:c r="H21" s="50" t="n">
        <x:f>IF($B21&lt;='Scorecard'!$B$3-74,1,0)</x:f>
        <x:v>0</x:v>
      </x:c>
      <x:c r="I21" s="50" t="n">
        <x:f>IF(COUNTIFS(Events!$B$4:$B$1456,$A21,Events!$C$4:$C$1456,"day60_activity_observed",Events!$D$4:$D$1456,"&gt;="&amp;($B21+60),Events!$D$4:$D$1456,"&lt;="&amp;($B21+74))&gt;0,1,0)</x:f>
        <x:v>0</x:v>
      </x:c>
    </x:row>
    <x:row r="22">
      <x:c r="A22" s="50" t="str">
        <x:f>Members!A22</x:f>
        <x:v>SYN0019</x:v>
      </x:c>
      <x:c r="B22" s="51" t="n">
        <x:f>Members!B22</x:f>
        <x:v>46204</x:v>
      </x:c>
      <x:c r="C22" s="50" t="str">
        <x:f>Members!C22</x:f>
        <x:v>Direct</x:v>
      </x:c>
      <x:c r="D22" s="50" t="n">
        <x:f>IF($B22&lt;='Scorecard'!$B$3-7,1,0)</x:f>
        <x:v>1</x:v>
      </x:c>
      <x:c r="E22" s="50" t="n">
        <x:f>IF(COUNTIFS(Events!$B$4:$B$1456,$A22,Events!$C$4:$C$1456,"coach_contact_completed",Events!$D$4:$D$1456,"&gt;="&amp;($B22+0),Events!$D$4:$D$1456,"&lt;="&amp;($B22+7))&gt;0,1,0)</x:f>
        <x:v>0</x:v>
      </x:c>
      <x:c r="F22" s="50" t="n">
        <x:f>IF($B22&lt;='Scorecard'!$B$3-37,1,0)</x:f>
        <x:v>1</x:v>
      </x:c>
      <x:c r="G22" s="50" t="n">
        <x:f>IF(COUNTIFS(Events!$B$4:$B$1456,$A22,Events!$C$4:$C$1456,"day30_checkin_completed",Events!$D$4:$D$1456,"&gt;="&amp;($B22+28),Events!$D$4:$D$1456,"&lt;="&amp;($B22+37))&gt;0,1,0)</x:f>
        <x:v>1</x:v>
      </x:c>
      <x:c r="H22" s="50" t="n">
        <x:f>IF($B22&lt;='Scorecard'!$B$3-74,1,0)</x:f>
        <x:v>1</x:v>
      </x:c>
      <x:c r="I22" s="50" t="n">
        <x:f>IF(COUNTIFS(Events!$B$4:$B$1456,$A22,Events!$C$4:$C$1456,"day60_activity_observed",Events!$D$4:$D$1456,"&gt;="&amp;($B22+60),Events!$D$4:$D$1456,"&lt;="&amp;($B22+74))&gt;0,1,0)</x:f>
        <x:v>0</x:v>
      </x:c>
    </x:row>
    <x:row r="23">
      <x:c r="A23" s="50" t="str">
        <x:f>Members!A23</x:f>
        <x:v>SYN0020</x:v>
      </x:c>
      <x:c r="B23" s="51" t="n">
        <x:f>Members!B23</x:f>
        <x:v>46049</x:v>
      </x:c>
      <x:c r="C23" s="50" t="str">
        <x:f>Members!C23</x:f>
        <x:v>Direct</x:v>
      </x:c>
      <x:c r="D23" s="50" t="n">
        <x:f>IF($B23&lt;='Scorecard'!$B$3-7,1,0)</x:f>
        <x:v>1</x:v>
      </x:c>
      <x:c r="E23" s="50" t="n">
        <x:f>IF(COUNTIFS(Events!$B$4:$B$1456,$A23,Events!$C$4:$C$1456,"coach_contact_completed",Events!$D$4:$D$1456,"&gt;="&amp;($B23+0),Events!$D$4:$D$1456,"&lt;="&amp;($B23+7))&gt;0,1,0)</x:f>
        <x:v>1</x:v>
      </x:c>
      <x:c r="F23" s="50" t="n">
        <x:f>IF($B23&lt;='Scorecard'!$B$3-37,1,0)</x:f>
        <x:v>1</x:v>
      </x:c>
      <x:c r="G23" s="50" t="n">
        <x:f>IF(COUNTIFS(Events!$B$4:$B$1456,$A23,Events!$C$4:$C$1456,"day30_checkin_completed",Events!$D$4:$D$1456,"&gt;="&amp;($B23+28),Events!$D$4:$D$1456,"&lt;="&amp;($B23+37))&gt;0,1,0)</x:f>
        <x:v>0</x:v>
      </x:c>
      <x:c r="H23" s="50" t="n">
        <x:f>IF($B23&lt;='Scorecard'!$B$3-74,1,0)</x:f>
        <x:v>1</x:v>
      </x:c>
      <x:c r="I23" s="50" t="n">
        <x:f>IF(COUNTIFS(Events!$B$4:$B$1456,$A23,Events!$C$4:$C$1456,"day60_activity_observed",Events!$D$4:$D$1456,"&gt;="&amp;($B23+60),Events!$D$4:$D$1456,"&lt;="&amp;($B23+74))&gt;0,1,0)</x:f>
        <x:v>0</x:v>
      </x:c>
    </x:row>
    <x:row r="24">
      <x:c r="A24" s="50" t="str">
        <x:f>Members!A24</x:f>
        <x:v>SYN0021</x:v>
      </x:c>
      <x:c r="B24" s="51" t="n">
        <x:f>Members!B24</x:f>
        <x:v>46181</x:v>
      </x:c>
      <x:c r="C24" s="50" t="str">
        <x:f>Members!C24</x:f>
        <x:v>Direct</x:v>
      </x:c>
      <x:c r="D24" s="50" t="n">
        <x:f>IF($B24&lt;='Scorecard'!$B$3-7,1,0)</x:f>
        <x:v>1</x:v>
      </x:c>
      <x:c r="E24" s="50" t="n">
        <x:f>IF(COUNTIFS(Events!$B$4:$B$1456,$A24,Events!$C$4:$C$1456,"coach_contact_completed",Events!$D$4:$D$1456,"&gt;="&amp;($B24+0),Events!$D$4:$D$1456,"&lt;="&amp;($B24+7))&gt;0,1,0)</x:f>
        <x:v>1</x:v>
      </x:c>
      <x:c r="F24" s="50" t="n">
        <x:f>IF($B24&lt;='Scorecard'!$B$3-37,1,0)</x:f>
        <x:v>1</x:v>
      </x:c>
      <x:c r="G24" s="50" t="n">
        <x:f>IF(COUNTIFS(Events!$B$4:$B$1456,$A24,Events!$C$4:$C$1456,"day30_checkin_completed",Events!$D$4:$D$1456,"&gt;="&amp;($B24+28),Events!$D$4:$D$1456,"&lt;="&amp;($B24+37))&gt;0,1,0)</x:f>
        <x:v>1</x:v>
      </x:c>
      <x:c r="H24" s="50" t="n">
        <x:f>IF($B24&lt;='Scorecard'!$B$3-74,1,0)</x:f>
        <x:v>1</x:v>
      </x:c>
      <x:c r="I24" s="50" t="n">
        <x:f>IF(COUNTIFS(Events!$B$4:$B$1456,$A24,Events!$C$4:$C$1456,"day60_activity_observed",Events!$D$4:$D$1456,"&gt;="&amp;($B24+60),Events!$D$4:$D$1456,"&lt;="&amp;($B24+74))&gt;0,1,0)</x:f>
        <x:v>0</x:v>
      </x:c>
    </x:row>
    <x:row r="25">
      <x:c r="A25" s="50" t="str">
        <x:f>Members!A25</x:f>
        <x:v>SYN0022</x:v>
      </x:c>
      <x:c r="B25" s="51" t="n">
        <x:f>Members!B25</x:f>
        <x:v>46121</x:v>
      </x:c>
      <x:c r="C25" s="50" t="str">
        <x:f>Members!C25</x:f>
        <x:v>Direct</x:v>
      </x:c>
      <x:c r="D25" s="50" t="n">
        <x:f>IF($B25&lt;='Scorecard'!$B$3-7,1,0)</x:f>
        <x:v>1</x:v>
      </x:c>
      <x:c r="E25" s="50" t="n">
        <x:f>IF(COUNTIFS(Events!$B$4:$B$1456,$A25,Events!$C$4:$C$1456,"coach_contact_completed",Events!$D$4:$D$1456,"&gt;="&amp;($B25+0),Events!$D$4:$D$1456,"&lt;="&amp;($B25+7))&gt;0,1,0)</x:f>
        <x:v>0</x:v>
      </x:c>
      <x:c r="F25" s="50" t="n">
        <x:f>IF($B25&lt;='Scorecard'!$B$3-37,1,0)</x:f>
        <x:v>1</x:v>
      </x:c>
      <x:c r="G25" s="50" t="n">
        <x:f>IF(COUNTIFS(Events!$B$4:$B$1456,$A25,Events!$C$4:$C$1456,"day30_checkin_completed",Events!$D$4:$D$1456,"&gt;="&amp;($B25+28),Events!$D$4:$D$1456,"&lt;="&amp;($B25+37))&gt;0,1,0)</x:f>
        <x:v>1</x:v>
      </x:c>
      <x:c r="H25" s="50" t="n">
        <x:f>IF($B25&lt;='Scorecard'!$B$3-74,1,0)</x:f>
        <x:v>1</x:v>
      </x:c>
      <x:c r="I25" s="50" t="n">
        <x:f>IF(COUNTIFS(Events!$B$4:$B$1456,$A25,Events!$C$4:$C$1456,"day60_activity_observed",Events!$D$4:$D$1456,"&gt;="&amp;($B25+60),Events!$D$4:$D$1456,"&lt;="&amp;($B25+74))&gt;0,1,0)</x:f>
        <x:v>1</x:v>
      </x:c>
    </x:row>
    <x:row r="26">
      <x:c r="A26" s="50" t="str">
        <x:f>Members!A26</x:f>
        <x:v>SYN0023</x:v>
      </x:c>
      <x:c r="B26" s="51" t="n">
        <x:f>Members!B26</x:f>
        <x:v>46254</x:v>
      </x:c>
      <x:c r="C26" s="50" t="str">
        <x:f>Members!C26</x:f>
        <x:v>Direct</x:v>
      </x:c>
      <x:c r="D26" s="50" t="n">
        <x:f>IF($B26&lt;='Scorecard'!$B$3-7,1,0)</x:f>
        <x:v>1</x:v>
      </x:c>
      <x:c r="E26" s="50" t="n">
        <x:f>IF(COUNTIFS(Events!$B$4:$B$1456,$A26,Events!$C$4:$C$1456,"coach_contact_completed",Events!$D$4:$D$1456,"&gt;="&amp;($B26+0),Events!$D$4:$D$1456,"&lt;="&amp;($B26+7))&gt;0,1,0)</x:f>
        <x:v>1</x:v>
      </x:c>
      <x:c r="F26" s="50" t="n">
        <x:f>IF($B26&lt;='Scorecard'!$B$3-37,1,0)</x:f>
        <x:v>1</x:v>
      </x:c>
      <x:c r="G26" s="50" t="n">
        <x:f>IF(COUNTIFS(Events!$B$4:$B$1456,$A26,Events!$C$4:$C$1456,"day30_checkin_completed",Events!$D$4:$D$1456,"&gt;="&amp;($B26+28),Events!$D$4:$D$1456,"&lt;="&amp;($B26+37))&gt;0,1,0)</x:f>
        <x:v>1</x:v>
      </x:c>
      <x:c r="H26" s="50" t="n">
        <x:f>IF($B26&lt;='Scorecard'!$B$3-74,1,0)</x:f>
        <x:v>0</x:v>
      </x:c>
      <x:c r="I26" s="50" t="n">
        <x:f>IF(COUNTIFS(Events!$B$4:$B$1456,$A26,Events!$C$4:$C$1456,"day60_activity_observed",Events!$D$4:$D$1456,"&gt;="&amp;($B26+60),Events!$D$4:$D$1456,"&lt;="&amp;($B26+74))&gt;0,1,0)</x:f>
        <x:v>0</x:v>
      </x:c>
    </x:row>
    <x:row r="27">
      <x:c r="A27" s="50" t="str">
        <x:f>Members!A27</x:f>
        <x:v>SYN0024</x:v>
      </x:c>
      <x:c r="B27" s="51" t="n">
        <x:f>Members!B27</x:f>
        <x:v>46213</x:v>
      </x:c>
      <x:c r="C27" s="50" t="str">
        <x:f>Members!C27</x:f>
        <x:v>Direct</x:v>
      </x:c>
      <x:c r="D27" s="50" t="n">
        <x:f>IF($B27&lt;='Scorecard'!$B$3-7,1,0)</x:f>
        <x:v>1</x:v>
      </x:c>
      <x:c r="E27" s="50" t="n">
        <x:f>IF(COUNTIFS(Events!$B$4:$B$1456,$A27,Events!$C$4:$C$1456,"coach_contact_completed",Events!$D$4:$D$1456,"&gt;="&amp;($B27+0),Events!$D$4:$D$1456,"&lt;="&amp;($B27+7))&gt;0,1,0)</x:f>
        <x:v>0</x:v>
      </x:c>
      <x:c r="F27" s="50" t="n">
        <x:f>IF($B27&lt;='Scorecard'!$B$3-37,1,0)</x:f>
        <x:v>1</x:v>
      </x:c>
      <x:c r="G27" s="50" t="n">
        <x:f>IF(COUNTIFS(Events!$B$4:$B$1456,$A27,Events!$C$4:$C$1456,"day30_checkin_completed",Events!$D$4:$D$1456,"&gt;="&amp;($B27+28),Events!$D$4:$D$1456,"&lt;="&amp;($B27+37))&gt;0,1,0)</x:f>
        <x:v>1</x:v>
      </x:c>
      <x:c r="H27" s="50" t="n">
        <x:f>IF($B27&lt;='Scorecard'!$B$3-74,1,0)</x:f>
        <x:v>1</x:v>
      </x:c>
      <x:c r="I27" s="50" t="n">
        <x:f>IF(COUNTIFS(Events!$B$4:$B$1456,$A27,Events!$C$4:$C$1456,"day60_activity_observed",Events!$D$4:$D$1456,"&gt;="&amp;($B27+60),Events!$D$4:$D$1456,"&lt;="&amp;($B27+74))&gt;0,1,0)</x:f>
        <x:v>1</x:v>
      </x:c>
    </x:row>
    <x:row r="28">
      <x:c r="A28" s="50" t="str">
        <x:f>Members!A28</x:f>
        <x:v>SYN0025</x:v>
      </x:c>
      <x:c r="B28" s="51" t="n">
        <x:f>Members!B28</x:f>
        <x:v>46125</x:v>
      </x:c>
      <x:c r="C28" s="50" t="str">
        <x:f>Members!C28</x:f>
        <x:v>Employer</x:v>
      </x:c>
      <x:c r="D28" s="50" t="n">
        <x:f>IF($B28&lt;='Scorecard'!$B$3-7,1,0)</x:f>
        <x:v>1</x:v>
      </x:c>
      <x:c r="E28" s="50" t="n">
        <x:f>IF(COUNTIFS(Events!$B$4:$B$1456,$A28,Events!$C$4:$C$1456,"coach_contact_completed",Events!$D$4:$D$1456,"&gt;="&amp;($B28+0),Events!$D$4:$D$1456,"&lt;="&amp;($B28+7))&gt;0,1,0)</x:f>
        <x:v>1</x:v>
      </x:c>
      <x:c r="F28" s="50" t="n">
        <x:f>IF($B28&lt;='Scorecard'!$B$3-37,1,0)</x:f>
        <x:v>1</x:v>
      </x:c>
      <x:c r="G28" s="50" t="n">
        <x:f>IF(COUNTIFS(Events!$B$4:$B$1456,$A28,Events!$C$4:$C$1456,"day30_checkin_completed",Events!$D$4:$D$1456,"&gt;="&amp;($B28+28),Events!$D$4:$D$1456,"&lt;="&amp;($B28+37))&gt;0,1,0)</x:f>
        <x:v>1</x:v>
      </x:c>
      <x:c r="H28" s="50" t="n">
        <x:f>IF($B28&lt;='Scorecard'!$B$3-74,1,0)</x:f>
        <x:v>1</x:v>
      </x:c>
      <x:c r="I28" s="50" t="n">
        <x:f>IF(COUNTIFS(Events!$B$4:$B$1456,$A28,Events!$C$4:$C$1456,"day60_activity_observed",Events!$D$4:$D$1456,"&gt;="&amp;($B28+60),Events!$D$4:$D$1456,"&lt;="&amp;($B28+74))&gt;0,1,0)</x:f>
        <x:v>0</x:v>
      </x:c>
    </x:row>
    <x:row r="29">
      <x:c r="A29" s="50" t="str">
        <x:f>Members!A29</x:f>
        <x:v>SYN0026</x:v>
      </x:c>
      <x:c r="B29" s="51" t="n">
        <x:f>Members!B29</x:f>
        <x:v>46108</x:v>
      </x:c>
      <x:c r="C29" s="50" t="str">
        <x:f>Members!C29</x:f>
        <x:v>Direct</x:v>
      </x:c>
      <x:c r="D29" s="50" t="n">
        <x:f>IF($B29&lt;='Scorecard'!$B$3-7,1,0)</x:f>
        <x:v>1</x:v>
      </x:c>
      <x:c r="E29" s="50" t="n">
        <x:f>IF(COUNTIFS(Events!$B$4:$B$1456,$A29,Events!$C$4:$C$1456,"coach_contact_completed",Events!$D$4:$D$1456,"&gt;="&amp;($B29+0),Events!$D$4:$D$1456,"&lt;="&amp;($B29+7))&gt;0,1,0)</x:f>
        <x:v>1</x:v>
      </x:c>
      <x:c r="F29" s="50" t="n">
        <x:f>IF($B29&lt;='Scorecard'!$B$3-37,1,0)</x:f>
        <x:v>1</x:v>
      </x:c>
      <x:c r="G29" s="50" t="n">
        <x:f>IF(COUNTIFS(Events!$B$4:$B$1456,$A29,Events!$C$4:$C$1456,"day30_checkin_completed",Events!$D$4:$D$1456,"&gt;="&amp;($B29+28),Events!$D$4:$D$1456,"&lt;="&amp;($B29+37))&gt;0,1,0)</x:f>
        <x:v>1</x:v>
      </x:c>
      <x:c r="H29" s="50" t="n">
        <x:f>IF($B29&lt;='Scorecard'!$B$3-74,1,0)</x:f>
        <x:v>1</x:v>
      </x:c>
      <x:c r="I29" s="50" t="n">
        <x:f>IF(COUNTIFS(Events!$B$4:$B$1456,$A29,Events!$C$4:$C$1456,"day60_activity_observed",Events!$D$4:$D$1456,"&gt;="&amp;($B29+60),Events!$D$4:$D$1456,"&lt;="&amp;($B29+74))&gt;0,1,0)</x:f>
        <x:v>1</x:v>
      </x:c>
    </x:row>
    <x:row r="30">
      <x:c r="A30" s="50" t="str">
        <x:f>Members!A30</x:f>
        <x:v>SYN0027</x:v>
      </x:c>
      <x:c r="B30" s="51" t="n">
        <x:f>Members!B30</x:f>
        <x:v>46104</x:v>
      </x:c>
      <x:c r="C30" s="50" t="str">
        <x:f>Members!C30</x:f>
        <x:v>Direct</x:v>
      </x:c>
      <x:c r="D30" s="50" t="n">
        <x:f>IF($B30&lt;='Scorecard'!$B$3-7,1,0)</x:f>
        <x:v>1</x:v>
      </x:c>
      <x:c r="E30" s="50" t="n">
        <x:f>IF(COUNTIFS(Events!$B$4:$B$1456,$A30,Events!$C$4:$C$1456,"coach_contact_completed",Events!$D$4:$D$1456,"&gt;="&amp;($B30+0),Events!$D$4:$D$1456,"&lt;="&amp;($B30+7))&gt;0,1,0)</x:f>
        <x:v>0</x:v>
      </x:c>
      <x:c r="F30" s="50" t="n">
        <x:f>IF($B30&lt;='Scorecard'!$B$3-37,1,0)</x:f>
        <x:v>1</x:v>
      </x:c>
      <x:c r="G30" s="50" t="n">
        <x:f>IF(COUNTIFS(Events!$B$4:$B$1456,$A30,Events!$C$4:$C$1456,"day30_checkin_completed",Events!$D$4:$D$1456,"&gt;="&amp;($B30+28),Events!$D$4:$D$1456,"&lt;="&amp;($B30+37))&gt;0,1,0)</x:f>
        <x:v>1</x:v>
      </x:c>
      <x:c r="H30" s="50" t="n">
        <x:f>IF($B30&lt;='Scorecard'!$B$3-74,1,0)</x:f>
        <x:v>1</x:v>
      </x:c>
      <x:c r="I30" s="50" t="n">
        <x:f>IF(COUNTIFS(Events!$B$4:$B$1456,$A30,Events!$C$4:$C$1456,"day60_activity_observed",Events!$D$4:$D$1456,"&gt;="&amp;($B30+60),Events!$D$4:$D$1456,"&lt;="&amp;($B30+74))&gt;0,1,0)</x:f>
        <x:v>0</x:v>
      </x:c>
    </x:row>
    <x:row r="31">
      <x:c r="A31" s="50" t="str">
        <x:f>Members!A31</x:f>
        <x:v>SYN0028</x:v>
      </x:c>
      <x:c r="B31" s="51" t="n">
        <x:f>Members!B31</x:f>
        <x:v>46074</x:v>
      </x:c>
      <x:c r="C31" s="50" t="str">
        <x:f>Members!C31</x:f>
        <x:v>Employer</x:v>
      </x:c>
      <x:c r="D31" s="50" t="n">
        <x:f>IF($B31&lt;='Scorecard'!$B$3-7,1,0)</x:f>
        <x:v>1</x:v>
      </x:c>
      <x:c r="E31" s="50" t="n">
        <x:f>IF(COUNTIFS(Events!$B$4:$B$1456,$A31,Events!$C$4:$C$1456,"coach_contact_completed",Events!$D$4:$D$1456,"&gt;="&amp;($B31+0),Events!$D$4:$D$1456,"&lt;="&amp;($B31+7))&gt;0,1,0)</x:f>
        <x:v>1</x:v>
      </x:c>
      <x:c r="F31" s="50" t="n">
        <x:f>IF($B31&lt;='Scorecard'!$B$3-37,1,0)</x:f>
        <x:v>1</x:v>
      </x:c>
      <x:c r="G31" s="50" t="n">
        <x:f>IF(COUNTIFS(Events!$B$4:$B$1456,$A31,Events!$C$4:$C$1456,"day30_checkin_completed",Events!$D$4:$D$1456,"&gt;="&amp;($B31+28),Events!$D$4:$D$1456,"&lt;="&amp;($B31+37))&gt;0,1,0)</x:f>
        <x:v>1</x:v>
      </x:c>
      <x:c r="H31" s="50" t="n">
        <x:f>IF($B31&lt;='Scorecard'!$B$3-74,1,0)</x:f>
        <x:v>1</x:v>
      </x:c>
      <x:c r="I31" s="50" t="n">
        <x:f>IF(COUNTIFS(Events!$B$4:$B$1456,$A31,Events!$C$4:$C$1456,"day60_activity_observed",Events!$D$4:$D$1456,"&gt;="&amp;($B31+60),Events!$D$4:$D$1456,"&lt;="&amp;($B31+74))&gt;0,1,0)</x:f>
        <x:v>1</x:v>
      </x:c>
    </x:row>
    <x:row r="32">
      <x:c r="A32" s="50" t="str">
        <x:f>Members!A32</x:f>
        <x:v>SYN0029</x:v>
      </x:c>
      <x:c r="B32" s="51" t="n">
        <x:f>Members!B32</x:f>
        <x:v>46026</x:v>
      </x:c>
      <x:c r="C32" s="50" t="str">
        <x:f>Members!C32</x:f>
        <x:v>Direct</x:v>
      </x:c>
      <x:c r="D32" s="50" t="n">
        <x:f>IF($B32&lt;='Scorecard'!$B$3-7,1,0)</x:f>
        <x:v>1</x:v>
      </x:c>
      <x:c r="E32" s="50" t="n">
        <x:f>IF(COUNTIFS(Events!$B$4:$B$1456,$A32,Events!$C$4:$C$1456,"coach_contact_completed",Events!$D$4:$D$1456,"&gt;="&amp;($B32+0),Events!$D$4:$D$1456,"&lt;="&amp;($B32+7))&gt;0,1,0)</x:f>
        <x:v>1</x:v>
      </x:c>
      <x:c r="F32" s="50" t="n">
        <x:f>IF($B32&lt;='Scorecard'!$B$3-37,1,0)</x:f>
        <x:v>1</x:v>
      </x:c>
      <x:c r="G32" s="50" t="n">
        <x:f>IF(COUNTIFS(Events!$B$4:$B$1456,$A32,Events!$C$4:$C$1456,"day30_checkin_completed",Events!$D$4:$D$1456,"&gt;="&amp;($B32+28),Events!$D$4:$D$1456,"&lt;="&amp;($B32+37))&gt;0,1,0)</x:f>
        <x:v>1</x:v>
      </x:c>
      <x:c r="H32" s="50" t="n">
        <x:f>IF($B32&lt;='Scorecard'!$B$3-74,1,0)</x:f>
        <x:v>1</x:v>
      </x:c>
      <x:c r="I32" s="50" t="n">
        <x:f>IF(COUNTIFS(Events!$B$4:$B$1456,$A32,Events!$C$4:$C$1456,"day60_activity_observed",Events!$D$4:$D$1456,"&gt;="&amp;($B32+60),Events!$D$4:$D$1456,"&lt;="&amp;($B32+74))&gt;0,1,0)</x:f>
        <x:v>1</x:v>
      </x:c>
    </x:row>
    <x:row r="33">
      <x:c r="A33" s="50" t="str">
        <x:f>Members!A33</x:f>
        <x:v>SYN0030</x:v>
      </x:c>
      <x:c r="B33" s="51" t="n">
        <x:f>Members!B33</x:f>
        <x:v>46097</x:v>
      </x:c>
      <x:c r="C33" s="50" t="str">
        <x:f>Members!C33</x:f>
        <x:v>Employer</x:v>
      </x:c>
      <x:c r="D33" s="50" t="n">
        <x:f>IF($B33&lt;='Scorecard'!$B$3-7,1,0)</x:f>
        <x:v>1</x:v>
      </x:c>
      <x:c r="E33" s="50" t="n">
        <x:f>IF(COUNTIFS(Events!$B$4:$B$1456,$A33,Events!$C$4:$C$1456,"coach_contact_completed",Events!$D$4:$D$1456,"&gt;="&amp;($B33+0),Events!$D$4:$D$1456,"&lt;="&amp;($B33+7))&gt;0,1,0)</x:f>
        <x:v>1</x:v>
      </x:c>
      <x:c r="F33" s="50" t="n">
        <x:f>IF($B33&lt;='Scorecard'!$B$3-37,1,0)</x:f>
        <x:v>1</x:v>
      </x:c>
      <x:c r="G33" s="50" t="n">
        <x:f>IF(COUNTIFS(Events!$B$4:$B$1456,$A33,Events!$C$4:$C$1456,"day30_checkin_completed",Events!$D$4:$D$1456,"&gt;="&amp;($B33+28),Events!$D$4:$D$1456,"&lt;="&amp;($B33+37))&gt;0,1,0)</x:f>
        <x:v>0</x:v>
      </x:c>
      <x:c r="H33" s="50" t="n">
        <x:f>IF($B33&lt;='Scorecard'!$B$3-74,1,0)</x:f>
        <x:v>1</x:v>
      </x:c>
      <x:c r="I33" s="50" t="n">
        <x:f>IF(COUNTIFS(Events!$B$4:$B$1456,$A33,Events!$C$4:$C$1456,"day60_activity_observed",Events!$D$4:$D$1456,"&gt;="&amp;($B33+60),Events!$D$4:$D$1456,"&lt;="&amp;($B33+74))&gt;0,1,0)</x:f>
        <x:v>0</x:v>
      </x:c>
    </x:row>
    <x:row r="34">
      <x:c r="A34" s="50" t="str">
        <x:f>Members!A34</x:f>
        <x:v>SYN0031</x:v>
      </x:c>
      <x:c r="B34" s="51" t="n">
        <x:f>Members!B34</x:f>
        <x:v>46241</x:v>
      </x:c>
      <x:c r="C34" s="50" t="str">
        <x:f>Members!C34</x:f>
        <x:v>Employer</x:v>
      </x:c>
      <x:c r="D34" s="50" t="n">
        <x:f>IF($B34&lt;='Scorecard'!$B$3-7,1,0)</x:f>
        <x:v>1</x:v>
      </x:c>
      <x:c r="E34" s="50" t="n">
        <x:f>IF(COUNTIFS(Events!$B$4:$B$1456,$A34,Events!$C$4:$C$1456,"coach_contact_completed",Events!$D$4:$D$1456,"&gt;="&amp;($B34+0),Events!$D$4:$D$1456,"&lt;="&amp;($B34+7))&gt;0,1,0)</x:f>
        <x:v>1</x:v>
      </x:c>
      <x:c r="F34" s="50" t="n">
        <x:f>IF($B34&lt;='Scorecard'!$B$3-37,1,0)</x:f>
        <x:v>1</x:v>
      </x:c>
      <x:c r="G34" s="50" t="n">
        <x:f>IF(COUNTIFS(Events!$B$4:$B$1456,$A34,Events!$C$4:$C$1456,"day30_checkin_completed",Events!$D$4:$D$1456,"&gt;="&amp;($B34+28),Events!$D$4:$D$1456,"&lt;="&amp;($B34+37))&gt;0,1,0)</x:f>
        <x:v>1</x:v>
      </x:c>
      <x:c r="H34" s="50" t="n">
        <x:f>IF($B34&lt;='Scorecard'!$B$3-74,1,0)</x:f>
        <x:v>0</x:v>
      </x:c>
      <x:c r="I34" s="50" t="n">
        <x:f>IF(COUNTIFS(Events!$B$4:$B$1456,$A34,Events!$C$4:$C$1456,"day60_activity_observed",Events!$D$4:$D$1456,"&gt;="&amp;($B34+60),Events!$D$4:$D$1456,"&lt;="&amp;($B34+74))&gt;0,1,0)</x:f>
        <x:v>0</x:v>
      </x:c>
    </x:row>
    <x:row r="35">
      <x:c r="A35" s="50" t="str">
        <x:f>Members!A35</x:f>
        <x:v>SYN0032</x:v>
      </x:c>
      <x:c r="B35" s="51" t="n">
        <x:f>Members!B35</x:f>
        <x:v>46025</x:v>
      </x:c>
      <x:c r="C35" s="50" t="str">
        <x:f>Members!C35</x:f>
        <x:v>Direct</x:v>
      </x:c>
      <x:c r="D35" s="50" t="n">
        <x:f>IF($B35&lt;='Scorecard'!$B$3-7,1,0)</x:f>
        <x:v>1</x:v>
      </x:c>
      <x:c r="E35" s="50" t="n">
        <x:f>IF(COUNTIFS(Events!$B$4:$B$1456,$A35,Events!$C$4:$C$1456,"coach_contact_completed",Events!$D$4:$D$1456,"&gt;="&amp;($B35+0),Events!$D$4:$D$1456,"&lt;="&amp;($B35+7))&gt;0,1,0)</x:f>
        <x:v>0</x:v>
      </x:c>
      <x:c r="F35" s="50" t="n">
        <x:f>IF($B35&lt;='Scorecard'!$B$3-37,1,0)</x:f>
        <x:v>1</x:v>
      </x:c>
      <x:c r="G35" s="50" t="n">
        <x:f>IF(COUNTIFS(Events!$B$4:$B$1456,$A35,Events!$C$4:$C$1456,"day30_checkin_completed",Events!$D$4:$D$1456,"&gt;="&amp;($B35+28),Events!$D$4:$D$1456,"&lt;="&amp;($B35+37))&gt;0,1,0)</x:f>
        <x:v>1</x:v>
      </x:c>
      <x:c r="H35" s="50" t="n">
        <x:f>IF($B35&lt;='Scorecard'!$B$3-74,1,0)</x:f>
        <x:v>1</x:v>
      </x:c>
      <x:c r="I35" s="50" t="n">
        <x:f>IF(COUNTIFS(Events!$B$4:$B$1456,$A35,Events!$C$4:$C$1456,"day60_activity_observed",Events!$D$4:$D$1456,"&gt;="&amp;($B35+60),Events!$D$4:$D$1456,"&lt;="&amp;($B35+74))&gt;0,1,0)</x:f>
        <x:v>1</x:v>
      </x:c>
    </x:row>
    <x:row r="36">
      <x:c r="A36" s="50" t="str">
        <x:f>Members!A36</x:f>
        <x:v>SYN0033</x:v>
      </x:c>
      <x:c r="B36" s="51" t="n">
        <x:f>Members!B36</x:f>
        <x:v>46221</x:v>
      </x:c>
      <x:c r="C36" s="50" t="str">
        <x:f>Members!C36</x:f>
        <x:v>Employer</x:v>
      </x:c>
      <x:c r="D36" s="50" t="n">
        <x:f>IF($B36&lt;='Scorecard'!$B$3-7,1,0)</x:f>
        <x:v>1</x:v>
      </x:c>
      <x:c r="E36" s="50" t="n">
        <x:f>IF(COUNTIFS(Events!$B$4:$B$1456,$A36,Events!$C$4:$C$1456,"coach_contact_completed",Events!$D$4:$D$1456,"&gt;="&amp;($B36+0),Events!$D$4:$D$1456,"&lt;="&amp;($B36+7))&gt;0,1,0)</x:f>
        <x:v>1</x:v>
      </x:c>
      <x:c r="F36" s="50" t="n">
        <x:f>IF($B36&lt;='Scorecard'!$B$3-37,1,0)</x:f>
        <x:v>1</x:v>
      </x:c>
      <x:c r="G36" s="50" t="n">
        <x:f>IF(COUNTIFS(Events!$B$4:$B$1456,$A36,Events!$C$4:$C$1456,"day30_checkin_completed",Events!$D$4:$D$1456,"&gt;="&amp;($B36+28),Events!$D$4:$D$1456,"&lt;="&amp;($B36+37))&gt;0,1,0)</x:f>
        <x:v>1</x:v>
      </x:c>
      <x:c r="H36" s="50" t="n">
        <x:f>IF($B36&lt;='Scorecard'!$B$3-74,1,0)</x:f>
        <x:v>1</x:v>
      </x:c>
      <x:c r="I36" s="50" t="n">
        <x:f>IF(COUNTIFS(Events!$B$4:$B$1456,$A36,Events!$C$4:$C$1456,"day60_activity_observed",Events!$D$4:$D$1456,"&gt;="&amp;($B36+60),Events!$D$4:$D$1456,"&lt;="&amp;($B36+74))&gt;0,1,0)</x:f>
        <x:v>0</x:v>
      </x:c>
    </x:row>
    <x:row r="37">
      <x:c r="A37" s="50" t="str">
        <x:f>Members!A37</x:f>
        <x:v>SYN0034</x:v>
      </x:c>
      <x:c r="B37" s="51" t="n">
        <x:f>Members!B37</x:f>
        <x:v>46193</x:v>
      </x:c>
      <x:c r="C37" s="50" t="str">
        <x:f>Members!C37</x:f>
        <x:v>Direct</x:v>
      </x:c>
      <x:c r="D37" s="50" t="n">
        <x:f>IF($B37&lt;='Scorecard'!$B$3-7,1,0)</x:f>
        <x:v>1</x:v>
      </x:c>
      <x:c r="E37" s="50" t="n">
        <x:f>IF(COUNTIFS(Events!$B$4:$B$1456,$A37,Events!$C$4:$C$1456,"coach_contact_completed",Events!$D$4:$D$1456,"&gt;="&amp;($B37+0),Events!$D$4:$D$1456,"&lt;="&amp;($B37+7))&gt;0,1,0)</x:f>
        <x:v>0</x:v>
      </x:c>
      <x:c r="F37" s="50" t="n">
        <x:f>IF($B37&lt;='Scorecard'!$B$3-37,1,0)</x:f>
        <x:v>1</x:v>
      </x:c>
      <x:c r="G37" s="50" t="n">
        <x:f>IF(COUNTIFS(Events!$B$4:$B$1456,$A37,Events!$C$4:$C$1456,"day30_checkin_completed",Events!$D$4:$D$1456,"&gt;="&amp;($B37+28),Events!$D$4:$D$1456,"&lt;="&amp;($B37+37))&gt;0,1,0)</x:f>
        <x:v>1</x:v>
      </x:c>
      <x:c r="H37" s="50" t="n">
        <x:f>IF($B37&lt;='Scorecard'!$B$3-74,1,0)</x:f>
        <x:v>1</x:v>
      </x:c>
      <x:c r="I37" s="50" t="n">
        <x:f>IF(COUNTIFS(Events!$B$4:$B$1456,$A37,Events!$C$4:$C$1456,"day60_activity_observed",Events!$D$4:$D$1456,"&gt;="&amp;($B37+60),Events!$D$4:$D$1456,"&lt;="&amp;($B37+74))&gt;0,1,0)</x:f>
        <x:v>0</x:v>
      </x:c>
    </x:row>
    <x:row r="38">
      <x:c r="A38" s="50" t="str">
        <x:f>Members!A38</x:f>
        <x:v>SYN0035</x:v>
      </x:c>
      <x:c r="B38" s="51" t="n">
        <x:f>Members!B38</x:f>
        <x:v>46219</x:v>
      </x:c>
      <x:c r="C38" s="50" t="str">
        <x:f>Members!C38</x:f>
        <x:v>Direct</x:v>
      </x:c>
      <x:c r="D38" s="50" t="n">
        <x:f>IF($B38&lt;='Scorecard'!$B$3-7,1,0)</x:f>
        <x:v>1</x:v>
      </x:c>
      <x:c r="E38" s="50" t="n">
        <x:f>IF(COUNTIFS(Events!$B$4:$B$1456,$A38,Events!$C$4:$C$1456,"coach_contact_completed",Events!$D$4:$D$1456,"&gt;="&amp;($B38+0),Events!$D$4:$D$1456,"&lt;="&amp;($B38+7))&gt;0,1,0)</x:f>
        <x:v>0</x:v>
      </x:c>
      <x:c r="F38" s="50" t="n">
        <x:f>IF($B38&lt;='Scorecard'!$B$3-37,1,0)</x:f>
        <x:v>1</x:v>
      </x:c>
      <x:c r="G38" s="50" t="n">
        <x:f>IF(COUNTIFS(Events!$B$4:$B$1456,$A38,Events!$C$4:$C$1456,"day30_checkin_completed",Events!$D$4:$D$1456,"&gt;="&amp;($B38+28),Events!$D$4:$D$1456,"&lt;="&amp;($B38+37))&gt;0,1,0)</x:f>
        <x:v>1</x:v>
      </x:c>
      <x:c r="H38" s="50" t="n">
        <x:f>IF($B38&lt;='Scorecard'!$B$3-74,1,0)</x:f>
        <x:v>1</x:v>
      </x:c>
      <x:c r="I38" s="50" t="n">
        <x:f>IF(COUNTIFS(Events!$B$4:$B$1456,$A38,Events!$C$4:$C$1456,"day60_activity_observed",Events!$D$4:$D$1456,"&gt;="&amp;($B38+60),Events!$D$4:$D$1456,"&lt;="&amp;($B38+74))&gt;0,1,0)</x:f>
        <x:v>1</x:v>
      </x:c>
    </x:row>
    <x:row r="39">
      <x:c r="A39" s="50" t="str">
        <x:f>Members!A39</x:f>
        <x:v>SYN0036</x:v>
      </x:c>
      <x:c r="B39" s="51" t="n">
        <x:f>Members!B39</x:f>
        <x:v>46052</x:v>
      </x:c>
      <x:c r="C39" s="50" t="str">
        <x:f>Members!C39</x:f>
        <x:v>Direct</x:v>
      </x:c>
      <x:c r="D39" s="50" t="n">
        <x:f>IF($B39&lt;='Scorecard'!$B$3-7,1,0)</x:f>
        <x:v>1</x:v>
      </x:c>
      <x:c r="E39" s="50" t="n">
        <x:f>IF(COUNTIFS(Events!$B$4:$B$1456,$A39,Events!$C$4:$C$1456,"coach_contact_completed",Events!$D$4:$D$1456,"&gt;="&amp;($B39+0),Events!$D$4:$D$1456,"&lt;="&amp;($B39+7))&gt;0,1,0)</x:f>
        <x:v>1</x:v>
      </x:c>
      <x:c r="F39" s="50" t="n">
        <x:f>IF($B39&lt;='Scorecard'!$B$3-37,1,0)</x:f>
        <x:v>1</x:v>
      </x:c>
      <x:c r="G39" s="50" t="n">
        <x:f>IF(COUNTIFS(Events!$B$4:$B$1456,$A39,Events!$C$4:$C$1456,"day30_checkin_completed",Events!$D$4:$D$1456,"&gt;="&amp;($B39+28),Events!$D$4:$D$1456,"&lt;="&amp;($B39+37))&gt;0,1,0)</x:f>
        <x:v>1</x:v>
      </x:c>
      <x:c r="H39" s="50" t="n">
        <x:f>IF($B39&lt;='Scorecard'!$B$3-74,1,0)</x:f>
        <x:v>1</x:v>
      </x:c>
      <x:c r="I39" s="50" t="n">
        <x:f>IF(COUNTIFS(Events!$B$4:$B$1456,$A39,Events!$C$4:$C$1456,"day60_activity_observed",Events!$D$4:$D$1456,"&gt;="&amp;($B39+60),Events!$D$4:$D$1456,"&lt;="&amp;($B39+74))&gt;0,1,0)</x:f>
        <x:v>1</x:v>
      </x:c>
    </x:row>
    <x:row r="40">
      <x:c r="A40" s="50" t="str">
        <x:f>Members!A40</x:f>
        <x:v>SYN0037</x:v>
      </x:c>
      <x:c r="B40" s="51" t="n">
        <x:f>Members!B40</x:f>
        <x:v>46035</x:v>
      </x:c>
      <x:c r="C40" s="50" t="str">
        <x:f>Members!C40</x:f>
        <x:v>Employer</x:v>
      </x:c>
      <x:c r="D40" s="50" t="n">
        <x:f>IF($B40&lt;='Scorecard'!$B$3-7,1,0)</x:f>
        <x:v>1</x:v>
      </x:c>
      <x:c r="E40" s="50" t="n">
        <x:f>IF(COUNTIFS(Events!$B$4:$B$1456,$A40,Events!$C$4:$C$1456,"coach_contact_completed",Events!$D$4:$D$1456,"&gt;="&amp;($B40+0),Events!$D$4:$D$1456,"&lt;="&amp;($B40+7))&gt;0,1,0)</x:f>
        <x:v>1</x:v>
      </x:c>
      <x:c r="F40" s="50" t="n">
        <x:f>IF($B40&lt;='Scorecard'!$B$3-37,1,0)</x:f>
        <x:v>1</x:v>
      </x:c>
      <x:c r="G40" s="50" t="n">
        <x:f>IF(COUNTIFS(Events!$B$4:$B$1456,$A40,Events!$C$4:$C$1456,"day30_checkin_completed",Events!$D$4:$D$1456,"&gt;="&amp;($B40+28),Events!$D$4:$D$1456,"&lt;="&amp;($B40+37))&gt;0,1,0)</x:f>
        <x:v>1</x:v>
      </x:c>
      <x:c r="H40" s="50" t="n">
        <x:f>IF($B40&lt;='Scorecard'!$B$3-74,1,0)</x:f>
        <x:v>1</x:v>
      </x:c>
      <x:c r="I40" s="50" t="n">
        <x:f>IF(COUNTIFS(Events!$B$4:$B$1456,$A40,Events!$C$4:$C$1456,"day60_activity_observed",Events!$D$4:$D$1456,"&gt;="&amp;($B40+60),Events!$D$4:$D$1456,"&lt;="&amp;($B40+74))&gt;0,1,0)</x:f>
        <x:v>1</x:v>
      </x:c>
    </x:row>
    <x:row r="41">
      <x:c r="A41" s="50" t="str">
        <x:f>Members!A41</x:f>
        <x:v>SYN0038</x:v>
      </x:c>
      <x:c r="B41" s="51" t="n">
        <x:f>Members!B41</x:f>
        <x:v>46087</x:v>
      </x:c>
      <x:c r="C41" s="50" t="str">
        <x:f>Members!C41</x:f>
        <x:v>Direct</x:v>
      </x:c>
      <x:c r="D41" s="50" t="n">
        <x:f>IF($B41&lt;='Scorecard'!$B$3-7,1,0)</x:f>
        <x:v>1</x:v>
      </x:c>
      <x:c r="E41" s="50" t="n">
        <x:f>IF(COUNTIFS(Events!$B$4:$B$1456,$A41,Events!$C$4:$C$1456,"coach_contact_completed",Events!$D$4:$D$1456,"&gt;="&amp;($B41+0),Events!$D$4:$D$1456,"&lt;="&amp;($B41+7))&gt;0,1,0)</x:f>
        <x:v>1</x:v>
      </x:c>
      <x:c r="F41" s="50" t="n">
        <x:f>IF($B41&lt;='Scorecard'!$B$3-37,1,0)</x:f>
        <x:v>1</x:v>
      </x:c>
      <x:c r="G41" s="50" t="n">
        <x:f>IF(COUNTIFS(Events!$B$4:$B$1456,$A41,Events!$C$4:$C$1456,"day30_checkin_completed",Events!$D$4:$D$1456,"&gt;="&amp;($B41+28),Events!$D$4:$D$1456,"&lt;="&amp;($B41+37))&gt;0,1,0)</x:f>
        <x:v>1</x:v>
      </x:c>
      <x:c r="H41" s="50" t="n">
        <x:f>IF($B41&lt;='Scorecard'!$B$3-74,1,0)</x:f>
        <x:v>1</x:v>
      </x:c>
      <x:c r="I41" s="50" t="n">
        <x:f>IF(COUNTIFS(Events!$B$4:$B$1456,$A41,Events!$C$4:$C$1456,"day60_activity_observed",Events!$D$4:$D$1456,"&gt;="&amp;($B41+60),Events!$D$4:$D$1456,"&lt;="&amp;($B41+74))&gt;0,1,0)</x:f>
        <x:v>1</x:v>
      </x:c>
    </x:row>
    <x:row r="42">
      <x:c r="A42" s="50" t="str">
        <x:f>Members!A42</x:f>
        <x:v>SYN0039</x:v>
      </x:c>
      <x:c r="B42" s="51" t="n">
        <x:f>Members!B42</x:f>
        <x:v>46245</x:v>
      </x:c>
      <x:c r="C42" s="50" t="str">
        <x:f>Members!C42</x:f>
        <x:v>Employer</x:v>
      </x:c>
      <x:c r="D42" s="50" t="n">
        <x:f>IF($B42&lt;='Scorecard'!$B$3-7,1,0)</x:f>
        <x:v>1</x:v>
      </x:c>
      <x:c r="E42" s="50" t="n">
        <x:f>IF(COUNTIFS(Events!$B$4:$B$1456,$A42,Events!$C$4:$C$1456,"coach_contact_completed",Events!$D$4:$D$1456,"&gt;="&amp;($B42+0),Events!$D$4:$D$1456,"&lt;="&amp;($B42+7))&gt;0,1,0)</x:f>
        <x:v>1</x:v>
      </x:c>
      <x:c r="F42" s="50" t="n">
        <x:f>IF($B42&lt;='Scorecard'!$B$3-37,1,0)</x:f>
        <x:v>1</x:v>
      </x:c>
      <x:c r="G42" s="50" t="n">
        <x:f>IF(COUNTIFS(Events!$B$4:$B$1456,$A42,Events!$C$4:$C$1456,"day30_checkin_completed",Events!$D$4:$D$1456,"&gt;="&amp;($B42+28),Events!$D$4:$D$1456,"&lt;="&amp;($B42+37))&gt;0,1,0)</x:f>
        <x:v>1</x:v>
      </x:c>
      <x:c r="H42" s="50" t="n">
        <x:f>IF($B42&lt;='Scorecard'!$B$3-74,1,0)</x:f>
        <x:v>0</x:v>
      </x:c>
      <x:c r="I42" s="50" t="n">
        <x:f>IF(COUNTIFS(Events!$B$4:$B$1456,$A42,Events!$C$4:$C$1456,"day60_activity_observed",Events!$D$4:$D$1456,"&gt;="&amp;($B42+60),Events!$D$4:$D$1456,"&lt;="&amp;($B42+74))&gt;0,1,0)</x:f>
        <x:v>0</x:v>
      </x:c>
    </x:row>
    <x:row r="43">
      <x:c r="A43" s="50" t="str">
        <x:f>Members!A43</x:f>
        <x:v>SYN0040</x:v>
      </x:c>
      <x:c r="B43" s="51" t="n">
        <x:f>Members!B43</x:f>
        <x:v>46114</x:v>
      </x:c>
      <x:c r="C43" s="50" t="str">
        <x:f>Members!C43</x:f>
        <x:v>Direct</x:v>
      </x:c>
      <x:c r="D43" s="50" t="n">
        <x:f>IF($B43&lt;='Scorecard'!$B$3-7,1,0)</x:f>
        <x:v>1</x:v>
      </x:c>
      <x:c r="E43" s="50" t="n">
        <x:f>IF(COUNTIFS(Events!$B$4:$B$1456,$A43,Events!$C$4:$C$1456,"coach_contact_completed",Events!$D$4:$D$1456,"&gt;="&amp;($B43+0),Events!$D$4:$D$1456,"&lt;="&amp;($B43+7))&gt;0,1,0)</x:f>
        <x:v>1</x:v>
      </x:c>
      <x:c r="F43" s="50" t="n">
        <x:f>IF($B43&lt;='Scorecard'!$B$3-37,1,0)</x:f>
        <x:v>1</x:v>
      </x:c>
      <x:c r="G43" s="50" t="n">
        <x:f>IF(COUNTIFS(Events!$B$4:$B$1456,$A43,Events!$C$4:$C$1456,"day30_checkin_completed",Events!$D$4:$D$1456,"&gt;="&amp;($B43+28),Events!$D$4:$D$1456,"&lt;="&amp;($B43+37))&gt;0,1,0)</x:f>
        <x:v>1</x:v>
      </x:c>
      <x:c r="H43" s="50" t="n">
        <x:f>IF($B43&lt;='Scorecard'!$B$3-74,1,0)</x:f>
        <x:v>1</x:v>
      </x:c>
      <x:c r="I43" s="50" t="n">
        <x:f>IF(COUNTIFS(Events!$B$4:$B$1456,$A43,Events!$C$4:$C$1456,"day60_activity_observed",Events!$D$4:$D$1456,"&gt;="&amp;($B43+60),Events!$D$4:$D$1456,"&lt;="&amp;($B43+74))&gt;0,1,0)</x:f>
        <x:v>1</x:v>
      </x:c>
    </x:row>
    <x:row r="44">
      <x:c r="A44" s="50" t="str">
        <x:f>Members!A44</x:f>
        <x:v>SYN0041</x:v>
      </x:c>
      <x:c r="B44" s="51" t="n">
        <x:f>Members!B44</x:f>
        <x:v>46170</x:v>
      </x:c>
      <x:c r="C44" s="50" t="str">
        <x:f>Members!C44</x:f>
        <x:v>Direct</x:v>
      </x:c>
      <x:c r="D44" s="50" t="n">
        <x:f>IF($B44&lt;='Scorecard'!$B$3-7,1,0)</x:f>
        <x:v>1</x:v>
      </x:c>
      <x:c r="E44" s="50" t="n">
        <x:f>IF(COUNTIFS(Events!$B$4:$B$1456,$A44,Events!$C$4:$C$1456,"coach_contact_completed",Events!$D$4:$D$1456,"&gt;="&amp;($B44+0),Events!$D$4:$D$1456,"&lt;="&amp;($B44+7))&gt;0,1,0)</x:f>
        <x:v>1</x:v>
      </x:c>
      <x:c r="F44" s="50" t="n">
        <x:f>IF($B44&lt;='Scorecard'!$B$3-37,1,0)</x:f>
        <x:v>1</x:v>
      </x:c>
      <x:c r="G44" s="50" t="n">
        <x:f>IF(COUNTIFS(Events!$B$4:$B$1456,$A44,Events!$C$4:$C$1456,"day30_checkin_completed",Events!$D$4:$D$1456,"&gt;="&amp;($B44+28),Events!$D$4:$D$1456,"&lt;="&amp;($B44+37))&gt;0,1,0)</x:f>
        <x:v>1</x:v>
      </x:c>
      <x:c r="H44" s="50" t="n">
        <x:f>IF($B44&lt;='Scorecard'!$B$3-74,1,0)</x:f>
        <x:v>1</x:v>
      </x:c>
      <x:c r="I44" s="50" t="n">
        <x:f>IF(COUNTIFS(Events!$B$4:$B$1456,$A44,Events!$C$4:$C$1456,"day60_activity_observed",Events!$D$4:$D$1456,"&gt;="&amp;($B44+60),Events!$D$4:$D$1456,"&lt;="&amp;($B44+74))&gt;0,1,0)</x:f>
        <x:v>0</x:v>
      </x:c>
    </x:row>
    <x:row r="45">
      <x:c r="A45" s="50" t="str">
        <x:f>Members!A45</x:f>
        <x:v>SYN0042</x:v>
      </x:c>
      <x:c r="B45" s="51" t="n">
        <x:f>Members!B45</x:f>
        <x:v>46231</x:v>
      </x:c>
      <x:c r="C45" s="50" t="str">
        <x:f>Members!C45</x:f>
        <x:v>Direct</x:v>
      </x:c>
      <x:c r="D45" s="50" t="n">
        <x:f>IF($B45&lt;='Scorecard'!$B$3-7,1,0)</x:f>
        <x:v>1</x:v>
      </x:c>
      <x:c r="E45" s="50" t="n">
        <x:f>IF(COUNTIFS(Events!$B$4:$B$1456,$A45,Events!$C$4:$C$1456,"coach_contact_completed",Events!$D$4:$D$1456,"&gt;="&amp;($B45+0),Events!$D$4:$D$1456,"&lt;="&amp;($B45+7))&gt;0,1,0)</x:f>
        <x:v>1</x:v>
      </x:c>
      <x:c r="F45" s="50" t="n">
        <x:f>IF($B45&lt;='Scorecard'!$B$3-37,1,0)</x:f>
        <x:v>1</x:v>
      </x:c>
      <x:c r="G45" s="50" t="n">
        <x:f>IF(COUNTIFS(Events!$B$4:$B$1456,$A45,Events!$C$4:$C$1456,"day30_checkin_completed",Events!$D$4:$D$1456,"&gt;="&amp;($B45+28),Events!$D$4:$D$1456,"&lt;="&amp;($B45+37))&gt;0,1,0)</x:f>
        <x:v>1</x:v>
      </x:c>
      <x:c r="H45" s="50" t="n">
        <x:f>IF($B45&lt;='Scorecard'!$B$3-74,1,0)</x:f>
        <x:v>0</x:v>
      </x:c>
      <x:c r="I45" s="50" t="n">
        <x:f>IF(COUNTIFS(Events!$B$4:$B$1456,$A45,Events!$C$4:$C$1456,"day60_activity_observed",Events!$D$4:$D$1456,"&gt;="&amp;($B45+60),Events!$D$4:$D$1456,"&lt;="&amp;($B45+74))&gt;0,1,0)</x:f>
        <x:v>0</x:v>
      </x:c>
    </x:row>
    <x:row r="46">
      <x:c r="A46" s="50" t="str">
        <x:f>Members!A46</x:f>
        <x:v>SYN0043</x:v>
      </x:c>
      <x:c r="B46" s="51" t="n">
        <x:f>Members!B46</x:f>
        <x:v>46063</x:v>
      </x:c>
      <x:c r="C46" s="50" t="str">
        <x:f>Members!C46</x:f>
        <x:v>Direct</x:v>
      </x:c>
      <x:c r="D46" s="50" t="n">
        <x:f>IF($B46&lt;='Scorecard'!$B$3-7,1,0)</x:f>
        <x:v>1</x:v>
      </x:c>
      <x:c r="E46" s="50" t="n">
        <x:f>IF(COUNTIFS(Events!$B$4:$B$1456,$A46,Events!$C$4:$C$1456,"coach_contact_completed",Events!$D$4:$D$1456,"&gt;="&amp;($B46+0),Events!$D$4:$D$1456,"&lt;="&amp;($B46+7))&gt;0,1,0)</x:f>
        <x:v>1</x:v>
      </x:c>
      <x:c r="F46" s="50" t="n">
        <x:f>IF($B46&lt;='Scorecard'!$B$3-37,1,0)</x:f>
        <x:v>1</x:v>
      </x:c>
      <x:c r="G46" s="50" t="n">
        <x:f>IF(COUNTIFS(Events!$B$4:$B$1456,$A46,Events!$C$4:$C$1456,"day30_checkin_completed",Events!$D$4:$D$1456,"&gt;="&amp;($B46+28),Events!$D$4:$D$1456,"&lt;="&amp;($B46+37))&gt;0,1,0)</x:f>
        <x:v>0</x:v>
      </x:c>
      <x:c r="H46" s="50" t="n">
        <x:f>IF($B46&lt;='Scorecard'!$B$3-74,1,0)</x:f>
        <x:v>1</x:v>
      </x:c>
      <x:c r="I46" s="50" t="n">
        <x:f>IF(COUNTIFS(Events!$B$4:$B$1456,$A46,Events!$C$4:$C$1456,"day60_activity_observed",Events!$D$4:$D$1456,"&gt;="&amp;($B46+60),Events!$D$4:$D$1456,"&lt;="&amp;($B46+74))&gt;0,1,0)</x:f>
        <x:v>1</x:v>
      </x:c>
    </x:row>
    <x:row r="47">
      <x:c r="A47" s="50" t="str">
        <x:f>Members!A47</x:f>
        <x:v>SYN0044</x:v>
      </x:c>
      <x:c r="B47" s="51" t="n">
        <x:f>Members!B47</x:f>
        <x:v>46186</x:v>
      </x:c>
      <x:c r="C47" s="50" t="str">
        <x:f>Members!C47</x:f>
        <x:v>Direct</x:v>
      </x:c>
      <x:c r="D47" s="50" t="n">
        <x:f>IF($B47&lt;='Scorecard'!$B$3-7,1,0)</x:f>
        <x:v>1</x:v>
      </x:c>
      <x:c r="E47" s="50" t="n">
        <x:f>IF(COUNTIFS(Events!$B$4:$B$1456,$A47,Events!$C$4:$C$1456,"coach_contact_completed",Events!$D$4:$D$1456,"&gt;="&amp;($B47+0),Events!$D$4:$D$1456,"&lt;="&amp;($B47+7))&gt;0,1,0)</x:f>
        <x:v>0</x:v>
      </x:c>
      <x:c r="F47" s="50" t="n">
        <x:f>IF($B47&lt;='Scorecard'!$B$3-37,1,0)</x:f>
        <x:v>1</x:v>
      </x:c>
      <x:c r="G47" s="50" t="n">
        <x:f>IF(COUNTIFS(Events!$B$4:$B$1456,$A47,Events!$C$4:$C$1456,"day30_checkin_completed",Events!$D$4:$D$1456,"&gt;="&amp;($B47+28),Events!$D$4:$D$1456,"&lt;="&amp;($B47+37))&gt;0,1,0)</x:f>
        <x:v>1</x:v>
      </x:c>
      <x:c r="H47" s="50" t="n">
        <x:f>IF($B47&lt;='Scorecard'!$B$3-74,1,0)</x:f>
        <x:v>1</x:v>
      </x:c>
      <x:c r="I47" s="50" t="n">
        <x:f>IF(COUNTIFS(Events!$B$4:$B$1456,$A47,Events!$C$4:$C$1456,"day60_activity_observed",Events!$D$4:$D$1456,"&gt;="&amp;($B47+60),Events!$D$4:$D$1456,"&lt;="&amp;($B47+74))&gt;0,1,0)</x:f>
        <x:v>0</x:v>
      </x:c>
    </x:row>
    <x:row r="48">
      <x:c r="A48" s="50" t="str">
        <x:f>Members!A48</x:f>
        <x:v>SYN0045</x:v>
      </x:c>
      <x:c r="B48" s="51" t="n">
        <x:f>Members!B48</x:f>
        <x:v>46174</x:v>
      </x:c>
      <x:c r="C48" s="50" t="str">
        <x:f>Members!C48</x:f>
        <x:v>Direct</x:v>
      </x:c>
      <x:c r="D48" s="50" t="n">
        <x:f>IF($B48&lt;='Scorecard'!$B$3-7,1,0)</x:f>
        <x:v>1</x:v>
      </x:c>
      <x:c r="E48" s="50" t="n">
        <x:f>IF(COUNTIFS(Events!$B$4:$B$1456,$A48,Events!$C$4:$C$1456,"coach_contact_completed",Events!$D$4:$D$1456,"&gt;="&amp;($B48+0),Events!$D$4:$D$1456,"&lt;="&amp;($B48+7))&gt;0,1,0)</x:f>
        <x:v>1</x:v>
      </x:c>
      <x:c r="F48" s="50" t="n">
        <x:f>IF($B48&lt;='Scorecard'!$B$3-37,1,0)</x:f>
        <x:v>1</x:v>
      </x:c>
      <x:c r="G48" s="50" t="n">
        <x:f>IF(COUNTIFS(Events!$B$4:$B$1456,$A48,Events!$C$4:$C$1456,"day30_checkin_completed",Events!$D$4:$D$1456,"&gt;="&amp;($B48+28),Events!$D$4:$D$1456,"&lt;="&amp;($B48+37))&gt;0,1,0)</x:f>
        <x:v>0</x:v>
      </x:c>
      <x:c r="H48" s="50" t="n">
        <x:f>IF($B48&lt;='Scorecard'!$B$3-74,1,0)</x:f>
        <x:v>1</x:v>
      </x:c>
      <x:c r="I48" s="50" t="n">
        <x:f>IF(COUNTIFS(Events!$B$4:$B$1456,$A48,Events!$C$4:$C$1456,"day60_activity_observed",Events!$D$4:$D$1456,"&gt;="&amp;($B48+60),Events!$D$4:$D$1456,"&lt;="&amp;($B48+74))&gt;0,1,0)</x:f>
        <x:v>0</x:v>
      </x:c>
    </x:row>
    <x:row r="49">
      <x:c r="A49" s="50" t="str">
        <x:f>Members!A49</x:f>
        <x:v>SYN0046</x:v>
      </x:c>
      <x:c r="B49" s="51" t="n">
        <x:f>Members!B49</x:f>
        <x:v>46108</x:v>
      </x:c>
      <x:c r="C49" s="50" t="str">
        <x:f>Members!C49</x:f>
        <x:v>Employer</x:v>
      </x:c>
      <x:c r="D49" s="50" t="n">
        <x:f>IF($B49&lt;='Scorecard'!$B$3-7,1,0)</x:f>
        <x:v>1</x:v>
      </x:c>
      <x:c r="E49" s="50" t="n">
        <x:f>IF(COUNTIFS(Events!$B$4:$B$1456,$A49,Events!$C$4:$C$1456,"coach_contact_completed",Events!$D$4:$D$1456,"&gt;="&amp;($B49+0),Events!$D$4:$D$1456,"&lt;="&amp;($B49+7))&gt;0,1,0)</x:f>
        <x:v>1</x:v>
      </x:c>
      <x:c r="F49" s="50" t="n">
        <x:f>IF($B49&lt;='Scorecard'!$B$3-37,1,0)</x:f>
        <x:v>1</x:v>
      </x:c>
      <x:c r="G49" s="50" t="n">
        <x:f>IF(COUNTIFS(Events!$B$4:$B$1456,$A49,Events!$C$4:$C$1456,"day30_checkin_completed",Events!$D$4:$D$1456,"&gt;="&amp;($B49+28),Events!$D$4:$D$1456,"&lt;="&amp;($B49+37))&gt;0,1,0)</x:f>
        <x:v>1</x:v>
      </x:c>
      <x:c r="H49" s="50" t="n">
        <x:f>IF($B49&lt;='Scorecard'!$B$3-74,1,0)</x:f>
        <x:v>1</x:v>
      </x:c>
      <x:c r="I49" s="50" t="n">
        <x:f>IF(COUNTIFS(Events!$B$4:$B$1456,$A49,Events!$C$4:$C$1456,"day60_activity_observed",Events!$D$4:$D$1456,"&gt;="&amp;($B49+60),Events!$D$4:$D$1456,"&lt;="&amp;($B49+74))&gt;0,1,0)</x:f>
        <x:v>0</x:v>
      </x:c>
    </x:row>
    <x:row r="50">
      <x:c r="A50" s="50" t="str">
        <x:f>Members!A50</x:f>
        <x:v>SYN0047</x:v>
      </x:c>
      <x:c r="B50" s="51" t="n">
        <x:f>Members!B50</x:f>
        <x:v>46146</x:v>
      </x:c>
      <x:c r="C50" s="50" t="str">
        <x:f>Members!C50</x:f>
        <x:v>Direct</x:v>
      </x:c>
      <x:c r="D50" s="50" t="n">
        <x:f>IF($B50&lt;='Scorecard'!$B$3-7,1,0)</x:f>
        <x:v>1</x:v>
      </x:c>
      <x:c r="E50" s="50" t="n">
        <x:f>IF(COUNTIFS(Events!$B$4:$B$1456,$A50,Events!$C$4:$C$1456,"coach_contact_completed",Events!$D$4:$D$1456,"&gt;="&amp;($B50+0),Events!$D$4:$D$1456,"&lt;="&amp;($B50+7))&gt;0,1,0)</x:f>
        <x:v>1</x:v>
      </x:c>
      <x:c r="F50" s="50" t="n">
        <x:f>IF($B50&lt;='Scorecard'!$B$3-37,1,0)</x:f>
        <x:v>1</x:v>
      </x:c>
      <x:c r="G50" s="50" t="n">
        <x:f>IF(COUNTIFS(Events!$B$4:$B$1456,$A50,Events!$C$4:$C$1456,"day30_checkin_completed",Events!$D$4:$D$1456,"&gt;="&amp;($B50+28),Events!$D$4:$D$1456,"&lt;="&amp;($B50+37))&gt;0,1,0)</x:f>
        <x:v>0</x:v>
      </x:c>
      <x:c r="H50" s="50" t="n">
        <x:f>IF($B50&lt;='Scorecard'!$B$3-74,1,0)</x:f>
        <x:v>1</x:v>
      </x:c>
      <x:c r="I50" s="50" t="n">
        <x:f>IF(COUNTIFS(Events!$B$4:$B$1456,$A50,Events!$C$4:$C$1456,"day60_activity_observed",Events!$D$4:$D$1456,"&gt;="&amp;($B50+60),Events!$D$4:$D$1456,"&lt;="&amp;($B50+74))&gt;0,1,0)</x:f>
        <x:v>1</x:v>
      </x:c>
    </x:row>
    <x:row r="51">
      <x:c r="A51" s="50" t="str">
        <x:f>Members!A51</x:f>
        <x:v>SYN0048</x:v>
      </x:c>
      <x:c r="B51" s="51" t="n">
        <x:f>Members!B51</x:f>
        <x:v>46174</x:v>
      </x:c>
      <x:c r="C51" s="50" t="str">
        <x:f>Members!C51</x:f>
        <x:v>Direct</x:v>
      </x:c>
      <x:c r="D51" s="50" t="n">
        <x:f>IF($B51&lt;='Scorecard'!$B$3-7,1,0)</x:f>
        <x:v>1</x:v>
      </x:c>
      <x:c r="E51" s="50" t="n">
        <x:f>IF(COUNTIFS(Events!$B$4:$B$1456,$A51,Events!$C$4:$C$1456,"coach_contact_completed",Events!$D$4:$D$1456,"&gt;="&amp;($B51+0),Events!$D$4:$D$1456,"&lt;="&amp;($B51+7))&gt;0,1,0)</x:f>
        <x:v>0</x:v>
      </x:c>
      <x:c r="F51" s="50" t="n">
        <x:f>IF($B51&lt;='Scorecard'!$B$3-37,1,0)</x:f>
        <x:v>1</x:v>
      </x:c>
      <x:c r="G51" s="50" t="n">
        <x:f>IF(COUNTIFS(Events!$B$4:$B$1456,$A51,Events!$C$4:$C$1456,"day30_checkin_completed",Events!$D$4:$D$1456,"&gt;="&amp;($B51+28),Events!$D$4:$D$1456,"&lt;="&amp;($B51+37))&gt;0,1,0)</x:f>
        <x:v>1</x:v>
      </x:c>
      <x:c r="H51" s="50" t="n">
        <x:f>IF($B51&lt;='Scorecard'!$B$3-74,1,0)</x:f>
        <x:v>1</x:v>
      </x:c>
      <x:c r="I51" s="50" t="n">
        <x:f>IF(COUNTIFS(Events!$B$4:$B$1456,$A51,Events!$C$4:$C$1456,"day60_activity_observed",Events!$D$4:$D$1456,"&gt;="&amp;($B51+60),Events!$D$4:$D$1456,"&lt;="&amp;($B51+74))&gt;0,1,0)</x:f>
        <x:v>1</x:v>
      </x:c>
    </x:row>
    <x:row r="52">
      <x:c r="A52" s="50" t="str">
        <x:f>Members!A52</x:f>
        <x:v>SYN0049</x:v>
      </x:c>
      <x:c r="B52" s="51" t="n">
        <x:f>Members!B52</x:f>
        <x:v>46070</x:v>
      </x:c>
      <x:c r="C52" s="50" t="str">
        <x:f>Members!C52</x:f>
        <x:v>Direct</x:v>
      </x:c>
      <x:c r="D52" s="50" t="n">
        <x:f>IF($B52&lt;='Scorecard'!$B$3-7,1,0)</x:f>
        <x:v>1</x:v>
      </x:c>
      <x:c r="E52" s="50" t="n">
        <x:f>IF(COUNTIFS(Events!$B$4:$B$1456,$A52,Events!$C$4:$C$1456,"coach_contact_completed",Events!$D$4:$D$1456,"&gt;="&amp;($B52+0),Events!$D$4:$D$1456,"&lt;="&amp;($B52+7))&gt;0,1,0)</x:f>
        <x:v>1</x:v>
      </x:c>
      <x:c r="F52" s="50" t="n">
        <x:f>IF($B52&lt;='Scorecard'!$B$3-37,1,0)</x:f>
        <x:v>1</x:v>
      </x:c>
      <x:c r="G52" s="50" t="n">
        <x:f>IF(COUNTIFS(Events!$B$4:$B$1456,$A52,Events!$C$4:$C$1456,"day30_checkin_completed",Events!$D$4:$D$1456,"&gt;="&amp;($B52+28),Events!$D$4:$D$1456,"&lt;="&amp;($B52+37))&gt;0,1,0)</x:f>
        <x:v>1</x:v>
      </x:c>
      <x:c r="H52" s="50" t="n">
        <x:f>IF($B52&lt;='Scorecard'!$B$3-74,1,0)</x:f>
        <x:v>1</x:v>
      </x:c>
      <x:c r="I52" s="50" t="n">
        <x:f>IF(COUNTIFS(Events!$B$4:$B$1456,$A52,Events!$C$4:$C$1456,"day60_activity_observed",Events!$D$4:$D$1456,"&gt;="&amp;($B52+60),Events!$D$4:$D$1456,"&lt;="&amp;($B52+74))&gt;0,1,0)</x:f>
        <x:v>1</x:v>
      </x:c>
    </x:row>
    <x:row r="53">
      <x:c r="A53" s="50" t="str">
        <x:f>Members!A53</x:f>
        <x:v>SYN0050</x:v>
      </x:c>
      <x:c r="B53" s="51" t="n">
        <x:f>Members!B53</x:f>
        <x:v>46113</x:v>
      </x:c>
      <x:c r="C53" s="50" t="str">
        <x:f>Members!C53</x:f>
        <x:v>Employer</x:v>
      </x:c>
      <x:c r="D53" s="50" t="n">
        <x:f>IF($B53&lt;='Scorecard'!$B$3-7,1,0)</x:f>
        <x:v>1</x:v>
      </x:c>
      <x:c r="E53" s="50" t="n">
        <x:f>IF(COUNTIFS(Events!$B$4:$B$1456,$A53,Events!$C$4:$C$1456,"coach_contact_completed",Events!$D$4:$D$1456,"&gt;="&amp;($B53+0),Events!$D$4:$D$1456,"&lt;="&amp;($B53+7))&gt;0,1,0)</x:f>
        <x:v>1</x:v>
      </x:c>
      <x:c r="F53" s="50" t="n">
        <x:f>IF($B53&lt;='Scorecard'!$B$3-37,1,0)</x:f>
        <x:v>1</x:v>
      </x:c>
      <x:c r="G53" s="50" t="n">
        <x:f>IF(COUNTIFS(Events!$B$4:$B$1456,$A53,Events!$C$4:$C$1456,"day30_checkin_completed",Events!$D$4:$D$1456,"&gt;="&amp;($B53+28),Events!$D$4:$D$1456,"&lt;="&amp;($B53+37))&gt;0,1,0)</x:f>
        <x:v>1</x:v>
      </x:c>
      <x:c r="H53" s="50" t="n">
        <x:f>IF($B53&lt;='Scorecard'!$B$3-74,1,0)</x:f>
        <x:v>1</x:v>
      </x:c>
      <x:c r="I53" s="50" t="n">
        <x:f>IF(COUNTIFS(Events!$B$4:$B$1456,$A53,Events!$C$4:$C$1456,"day60_activity_observed",Events!$D$4:$D$1456,"&gt;="&amp;($B53+60),Events!$D$4:$D$1456,"&lt;="&amp;($B53+74))&gt;0,1,0)</x:f>
        <x:v>0</x:v>
      </x:c>
    </x:row>
    <x:row r="54">
      <x:c r="A54" s="50" t="str">
        <x:f>Members!A54</x:f>
        <x:v>SYN0051</x:v>
      </x:c>
      <x:c r="B54" s="51" t="n">
        <x:f>Members!B54</x:f>
        <x:v>46189</x:v>
      </x:c>
      <x:c r="C54" s="50" t="str">
        <x:f>Members!C54</x:f>
        <x:v>Direct</x:v>
      </x:c>
      <x:c r="D54" s="50" t="n">
        <x:f>IF($B54&lt;='Scorecard'!$B$3-7,1,0)</x:f>
        <x:v>1</x:v>
      </x:c>
      <x:c r="E54" s="50" t="n">
        <x:f>IF(COUNTIFS(Events!$B$4:$B$1456,$A54,Events!$C$4:$C$1456,"coach_contact_completed",Events!$D$4:$D$1456,"&gt;="&amp;($B54+0),Events!$D$4:$D$1456,"&lt;="&amp;($B54+7))&gt;0,1,0)</x:f>
        <x:v>1</x:v>
      </x:c>
      <x:c r="F54" s="50" t="n">
        <x:f>IF($B54&lt;='Scorecard'!$B$3-37,1,0)</x:f>
        <x:v>1</x:v>
      </x:c>
      <x:c r="G54" s="50" t="n">
        <x:f>IF(COUNTIFS(Events!$B$4:$B$1456,$A54,Events!$C$4:$C$1456,"day30_checkin_completed",Events!$D$4:$D$1456,"&gt;="&amp;($B54+28),Events!$D$4:$D$1456,"&lt;="&amp;($B54+37))&gt;0,1,0)</x:f>
        <x:v>1</x:v>
      </x:c>
      <x:c r="H54" s="50" t="n">
        <x:f>IF($B54&lt;='Scorecard'!$B$3-74,1,0)</x:f>
        <x:v>1</x:v>
      </x:c>
      <x:c r="I54" s="50" t="n">
        <x:f>IF(COUNTIFS(Events!$B$4:$B$1456,$A54,Events!$C$4:$C$1456,"day60_activity_observed",Events!$D$4:$D$1456,"&gt;="&amp;($B54+60),Events!$D$4:$D$1456,"&lt;="&amp;($B54+74))&gt;0,1,0)</x:f>
        <x:v>0</x:v>
      </x:c>
    </x:row>
    <x:row r="55">
      <x:c r="A55" s="50" t="str">
        <x:f>Members!A55</x:f>
        <x:v>SYN0052</x:v>
      </x:c>
      <x:c r="B55" s="51" t="n">
        <x:f>Members!B55</x:f>
        <x:v>46260</x:v>
      </x:c>
      <x:c r="C55" s="50" t="str">
        <x:f>Members!C55</x:f>
        <x:v>Direct</x:v>
      </x:c>
      <x:c r="D55" s="50" t="n">
        <x:f>IF($B55&lt;='Scorecard'!$B$3-7,1,0)</x:f>
        <x:v>1</x:v>
      </x:c>
      <x:c r="E55" s="50" t="n">
        <x:f>IF(COUNTIFS(Events!$B$4:$B$1456,$A55,Events!$C$4:$C$1456,"coach_contact_completed",Events!$D$4:$D$1456,"&gt;="&amp;($B55+0),Events!$D$4:$D$1456,"&lt;="&amp;($B55+7))&gt;0,1,0)</x:f>
        <x:v>0</x:v>
      </x:c>
      <x:c r="F55" s="50" t="n">
        <x:f>IF($B55&lt;='Scorecard'!$B$3-37,1,0)</x:f>
        <x:v>0</x:v>
      </x:c>
      <x:c r="G55" s="50" t="n">
        <x:f>IF(COUNTIFS(Events!$B$4:$B$1456,$A55,Events!$C$4:$C$1456,"day30_checkin_completed",Events!$D$4:$D$1456,"&gt;="&amp;($B55+28),Events!$D$4:$D$1456,"&lt;="&amp;($B55+37))&gt;0,1,0)</x:f>
        <x:v>1</x:v>
      </x:c>
      <x:c r="H55" s="50" t="n">
        <x:f>IF($B55&lt;='Scorecard'!$B$3-74,1,0)</x:f>
        <x:v>0</x:v>
      </x:c>
      <x:c r="I55" s="50" t="n">
        <x:f>IF(COUNTIFS(Events!$B$4:$B$1456,$A55,Events!$C$4:$C$1456,"day60_activity_observed",Events!$D$4:$D$1456,"&gt;="&amp;($B55+60),Events!$D$4:$D$1456,"&lt;="&amp;($B55+74))&gt;0,1,0)</x:f>
        <x:v>0</x:v>
      </x:c>
    </x:row>
    <x:row r="56">
      <x:c r="A56" s="50" t="str">
        <x:f>Members!A56</x:f>
        <x:v>SYN0053</x:v>
      </x:c>
      <x:c r="B56" s="51" t="n">
        <x:f>Members!B56</x:f>
        <x:v>46148</x:v>
      </x:c>
      <x:c r="C56" s="50" t="str">
        <x:f>Members!C56</x:f>
        <x:v>Direct</x:v>
      </x:c>
      <x:c r="D56" s="50" t="n">
        <x:f>IF($B56&lt;='Scorecard'!$B$3-7,1,0)</x:f>
        <x:v>1</x:v>
      </x:c>
      <x:c r="E56" s="50" t="n">
        <x:f>IF(COUNTIFS(Events!$B$4:$B$1456,$A56,Events!$C$4:$C$1456,"coach_contact_completed",Events!$D$4:$D$1456,"&gt;="&amp;($B56+0),Events!$D$4:$D$1456,"&lt;="&amp;($B56+7))&gt;0,1,0)</x:f>
        <x:v>1</x:v>
      </x:c>
      <x:c r="F56" s="50" t="n">
        <x:f>IF($B56&lt;='Scorecard'!$B$3-37,1,0)</x:f>
        <x:v>1</x:v>
      </x:c>
      <x:c r="G56" s="50" t="n">
        <x:f>IF(COUNTIFS(Events!$B$4:$B$1456,$A56,Events!$C$4:$C$1456,"day30_checkin_completed",Events!$D$4:$D$1456,"&gt;="&amp;($B56+28),Events!$D$4:$D$1456,"&lt;="&amp;($B56+37))&gt;0,1,0)</x:f>
        <x:v>1</x:v>
      </x:c>
      <x:c r="H56" s="50" t="n">
        <x:f>IF($B56&lt;='Scorecard'!$B$3-74,1,0)</x:f>
        <x:v>1</x:v>
      </x:c>
      <x:c r="I56" s="50" t="n">
        <x:f>IF(COUNTIFS(Events!$B$4:$B$1456,$A56,Events!$C$4:$C$1456,"day60_activity_observed",Events!$D$4:$D$1456,"&gt;="&amp;($B56+60),Events!$D$4:$D$1456,"&lt;="&amp;($B56+74))&gt;0,1,0)</x:f>
        <x:v>1</x:v>
      </x:c>
    </x:row>
    <x:row r="57">
      <x:c r="A57" s="50" t="str">
        <x:f>Members!A57</x:f>
        <x:v>SYN0054</x:v>
      </x:c>
      <x:c r="B57" s="51" t="n">
        <x:f>Members!B57</x:f>
        <x:v>46039</x:v>
      </x:c>
      <x:c r="C57" s="50" t="str">
        <x:f>Members!C57</x:f>
        <x:v>Direct</x:v>
      </x:c>
      <x:c r="D57" s="50" t="n">
        <x:f>IF($B57&lt;='Scorecard'!$B$3-7,1,0)</x:f>
        <x:v>1</x:v>
      </x:c>
      <x:c r="E57" s="50" t="n">
        <x:f>IF(COUNTIFS(Events!$B$4:$B$1456,$A57,Events!$C$4:$C$1456,"coach_contact_completed",Events!$D$4:$D$1456,"&gt;="&amp;($B57+0),Events!$D$4:$D$1456,"&lt;="&amp;($B57+7))&gt;0,1,0)</x:f>
        <x:v>1</x:v>
      </x:c>
      <x:c r="F57" s="50" t="n">
        <x:f>IF($B57&lt;='Scorecard'!$B$3-37,1,0)</x:f>
        <x:v>1</x:v>
      </x:c>
      <x:c r="G57" s="50" t="n">
        <x:f>IF(COUNTIFS(Events!$B$4:$B$1456,$A57,Events!$C$4:$C$1456,"day30_checkin_completed",Events!$D$4:$D$1456,"&gt;="&amp;($B57+28),Events!$D$4:$D$1456,"&lt;="&amp;($B57+37))&gt;0,1,0)</x:f>
        <x:v>0</x:v>
      </x:c>
      <x:c r="H57" s="50" t="n">
        <x:f>IF($B57&lt;='Scorecard'!$B$3-74,1,0)</x:f>
        <x:v>1</x:v>
      </x:c>
      <x:c r="I57" s="50" t="n">
        <x:f>IF(COUNTIFS(Events!$B$4:$B$1456,$A57,Events!$C$4:$C$1456,"day60_activity_observed",Events!$D$4:$D$1456,"&gt;="&amp;($B57+60),Events!$D$4:$D$1456,"&lt;="&amp;($B57+74))&gt;0,1,0)</x:f>
        <x:v>1</x:v>
      </x:c>
    </x:row>
    <x:row r="58">
      <x:c r="A58" s="50" t="str">
        <x:f>Members!A58</x:f>
        <x:v>SYN0055</x:v>
      </x:c>
      <x:c r="B58" s="51" t="n">
        <x:f>Members!B58</x:f>
        <x:v>46208</x:v>
      </x:c>
      <x:c r="C58" s="50" t="str">
        <x:f>Members!C58</x:f>
        <x:v>Direct</x:v>
      </x:c>
      <x:c r="D58" s="50" t="n">
        <x:f>IF($B58&lt;='Scorecard'!$B$3-7,1,0)</x:f>
        <x:v>1</x:v>
      </x:c>
      <x:c r="E58" s="50" t="n">
        <x:f>IF(COUNTIFS(Events!$B$4:$B$1456,$A58,Events!$C$4:$C$1456,"coach_contact_completed",Events!$D$4:$D$1456,"&gt;="&amp;($B58+0),Events!$D$4:$D$1456,"&lt;="&amp;($B58+7))&gt;0,1,0)</x:f>
        <x:v>1</x:v>
      </x:c>
      <x:c r="F58" s="50" t="n">
        <x:f>IF($B58&lt;='Scorecard'!$B$3-37,1,0)</x:f>
        <x:v>1</x:v>
      </x:c>
      <x:c r="G58" s="50" t="n">
        <x:f>IF(COUNTIFS(Events!$B$4:$B$1456,$A58,Events!$C$4:$C$1456,"day30_checkin_completed",Events!$D$4:$D$1456,"&gt;="&amp;($B58+28),Events!$D$4:$D$1456,"&lt;="&amp;($B58+37))&gt;0,1,0)</x:f>
        <x:v>0</x:v>
      </x:c>
      <x:c r="H58" s="50" t="n">
        <x:f>IF($B58&lt;='Scorecard'!$B$3-74,1,0)</x:f>
        <x:v>1</x:v>
      </x:c>
      <x:c r="I58" s="50" t="n">
        <x:f>IF(COUNTIFS(Events!$B$4:$B$1456,$A58,Events!$C$4:$C$1456,"day60_activity_observed",Events!$D$4:$D$1456,"&gt;="&amp;($B58+60),Events!$D$4:$D$1456,"&lt;="&amp;($B58+74))&gt;0,1,0)</x:f>
        <x:v>1</x:v>
      </x:c>
    </x:row>
    <x:row r="59">
      <x:c r="A59" s="50" t="str">
        <x:f>Members!A59</x:f>
        <x:v>SYN0056</x:v>
      </x:c>
      <x:c r="B59" s="51" t="n">
        <x:f>Members!B59</x:f>
        <x:v>46090</x:v>
      </x:c>
      <x:c r="C59" s="50" t="str">
        <x:f>Members!C59</x:f>
        <x:v>Direct</x:v>
      </x:c>
      <x:c r="D59" s="50" t="n">
        <x:f>IF($B59&lt;='Scorecard'!$B$3-7,1,0)</x:f>
        <x:v>1</x:v>
      </x:c>
      <x:c r="E59" s="50" t="n">
        <x:f>IF(COUNTIFS(Events!$B$4:$B$1456,$A59,Events!$C$4:$C$1456,"coach_contact_completed",Events!$D$4:$D$1456,"&gt;="&amp;($B59+0),Events!$D$4:$D$1456,"&lt;="&amp;($B59+7))&gt;0,1,0)</x:f>
        <x:v>1</x:v>
      </x:c>
      <x:c r="F59" s="50" t="n">
        <x:f>IF($B59&lt;='Scorecard'!$B$3-37,1,0)</x:f>
        <x:v>1</x:v>
      </x:c>
      <x:c r="G59" s="50" t="n">
        <x:f>IF(COUNTIFS(Events!$B$4:$B$1456,$A59,Events!$C$4:$C$1456,"day30_checkin_completed",Events!$D$4:$D$1456,"&gt;="&amp;($B59+28),Events!$D$4:$D$1456,"&lt;="&amp;($B59+37))&gt;0,1,0)</x:f>
        <x:v>1</x:v>
      </x:c>
      <x:c r="H59" s="50" t="n">
        <x:f>IF($B59&lt;='Scorecard'!$B$3-74,1,0)</x:f>
        <x:v>1</x:v>
      </x:c>
      <x:c r="I59" s="50" t="n">
        <x:f>IF(COUNTIFS(Events!$B$4:$B$1456,$A59,Events!$C$4:$C$1456,"day60_activity_observed",Events!$D$4:$D$1456,"&gt;="&amp;($B59+60),Events!$D$4:$D$1456,"&lt;="&amp;($B59+74))&gt;0,1,0)</x:f>
        <x:v>1</x:v>
      </x:c>
    </x:row>
    <x:row r="60">
      <x:c r="A60" s="50" t="str">
        <x:f>Members!A60</x:f>
        <x:v>SYN0057</x:v>
      </x:c>
      <x:c r="B60" s="51" t="n">
        <x:f>Members!B60</x:f>
        <x:v>46157</x:v>
      </x:c>
      <x:c r="C60" s="50" t="str">
        <x:f>Members!C60</x:f>
        <x:v>Employer</x:v>
      </x:c>
      <x:c r="D60" s="50" t="n">
        <x:f>IF($B60&lt;='Scorecard'!$B$3-7,1,0)</x:f>
        <x:v>1</x:v>
      </x:c>
      <x:c r="E60" s="50" t="n">
        <x:f>IF(COUNTIFS(Events!$B$4:$B$1456,$A60,Events!$C$4:$C$1456,"coach_contact_completed",Events!$D$4:$D$1456,"&gt;="&amp;($B60+0),Events!$D$4:$D$1456,"&lt;="&amp;($B60+7))&gt;0,1,0)</x:f>
        <x:v>0</x:v>
      </x:c>
      <x:c r="F60" s="50" t="n">
        <x:f>IF($B60&lt;='Scorecard'!$B$3-37,1,0)</x:f>
        <x:v>1</x:v>
      </x:c>
      <x:c r="G60" s="50" t="n">
        <x:f>IF(COUNTIFS(Events!$B$4:$B$1456,$A60,Events!$C$4:$C$1456,"day30_checkin_completed",Events!$D$4:$D$1456,"&gt;="&amp;($B60+28),Events!$D$4:$D$1456,"&lt;="&amp;($B60+37))&gt;0,1,0)</x:f>
        <x:v>1</x:v>
      </x:c>
      <x:c r="H60" s="50" t="n">
        <x:f>IF($B60&lt;='Scorecard'!$B$3-74,1,0)</x:f>
        <x:v>1</x:v>
      </x:c>
      <x:c r="I60" s="50" t="n">
        <x:f>IF(COUNTIFS(Events!$B$4:$B$1456,$A60,Events!$C$4:$C$1456,"day60_activity_observed",Events!$D$4:$D$1456,"&gt;="&amp;($B60+60),Events!$D$4:$D$1456,"&lt;="&amp;($B60+74))&gt;0,1,0)</x:f>
        <x:v>1</x:v>
      </x:c>
    </x:row>
    <x:row r="61">
      <x:c r="A61" s="50" t="str">
        <x:f>Members!A61</x:f>
        <x:v>SYN0058</x:v>
      </x:c>
      <x:c r="B61" s="51" t="n">
        <x:f>Members!B61</x:f>
        <x:v>46123</x:v>
      </x:c>
      <x:c r="C61" s="50" t="str">
        <x:f>Members!C61</x:f>
        <x:v>Direct</x:v>
      </x:c>
      <x:c r="D61" s="50" t="n">
        <x:f>IF($B61&lt;='Scorecard'!$B$3-7,1,0)</x:f>
        <x:v>1</x:v>
      </x:c>
      <x:c r="E61" s="50" t="n">
        <x:f>IF(COUNTIFS(Events!$B$4:$B$1456,$A61,Events!$C$4:$C$1456,"coach_contact_completed",Events!$D$4:$D$1456,"&gt;="&amp;($B61+0),Events!$D$4:$D$1456,"&lt;="&amp;($B61+7))&gt;0,1,0)</x:f>
        <x:v>1</x:v>
      </x:c>
      <x:c r="F61" s="50" t="n">
        <x:f>IF($B61&lt;='Scorecard'!$B$3-37,1,0)</x:f>
        <x:v>1</x:v>
      </x:c>
      <x:c r="G61" s="50" t="n">
        <x:f>IF(COUNTIFS(Events!$B$4:$B$1456,$A61,Events!$C$4:$C$1456,"day30_checkin_completed",Events!$D$4:$D$1456,"&gt;="&amp;($B61+28),Events!$D$4:$D$1456,"&lt;="&amp;($B61+37))&gt;0,1,0)</x:f>
        <x:v>0</x:v>
      </x:c>
      <x:c r="H61" s="50" t="n">
        <x:f>IF($B61&lt;='Scorecard'!$B$3-74,1,0)</x:f>
        <x:v>1</x:v>
      </x:c>
      <x:c r="I61" s="50" t="n">
        <x:f>IF(COUNTIFS(Events!$B$4:$B$1456,$A61,Events!$C$4:$C$1456,"day60_activity_observed",Events!$D$4:$D$1456,"&gt;="&amp;($B61+60),Events!$D$4:$D$1456,"&lt;="&amp;($B61+74))&gt;0,1,0)</x:f>
        <x:v>0</x:v>
      </x:c>
    </x:row>
    <x:row r="62">
      <x:c r="A62" s="50" t="str">
        <x:f>Members!A62</x:f>
        <x:v>SYN0059</x:v>
      </x:c>
      <x:c r="B62" s="51" t="n">
        <x:f>Members!B62</x:f>
        <x:v>46185</x:v>
      </x:c>
      <x:c r="C62" s="50" t="str">
        <x:f>Members!C62</x:f>
        <x:v>Direct</x:v>
      </x:c>
      <x:c r="D62" s="50" t="n">
        <x:f>IF($B62&lt;='Scorecard'!$B$3-7,1,0)</x:f>
        <x:v>1</x:v>
      </x:c>
      <x:c r="E62" s="50" t="n">
        <x:f>IF(COUNTIFS(Events!$B$4:$B$1456,$A62,Events!$C$4:$C$1456,"coach_contact_completed",Events!$D$4:$D$1456,"&gt;="&amp;($B62+0),Events!$D$4:$D$1456,"&lt;="&amp;($B62+7))&gt;0,1,0)</x:f>
        <x:v>1</x:v>
      </x:c>
      <x:c r="F62" s="50" t="n">
        <x:f>IF($B62&lt;='Scorecard'!$B$3-37,1,0)</x:f>
        <x:v>1</x:v>
      </x:c>
      <x:c r="G62" s="50" t="n">
        <x:f>IF(COUNTIFS(Events!$B$4:$B$1456,$A62,Events!$C$4:$C$1456,"day30_checkin_completed",Events!$D$4:$D$1456,"&gt;="&amp;($B62+28),Events!$D$4:$D$1456,"&lt;="&amp;($B62+37))&gt;0,1,0)</x:f>
        <x:v>1</x:v>
      </x:c>
      <x:c r="H62" s="50" t="n">
        <x:f>IF($B62&lt;='Scorecard'!$B$3-74,1,0)</x:f>
        <x:v>1</x:v>
      </x:c>
      <x:c r="I62" s="50" t="n">
        <x:f>IF(COUNTIFS(Events!$B$4:$B$1456,$A62,Events!$C$4:$C$1456,"day60_activity_observed",Events!$D$4:$D$1456,"&gt;="&amp;($B62+60),Events!$D$4:$D$1456,"&lt;="&amp;($B62+74))&gt;0,1,0)</x:f>
        <x:v>0</x:v>
      </x:c>
    </x:row>
    <x:row r="63">
      <x:c r="A63" s="50" t="str">
        <x:f>Members!A63</x:f>
        <x:v>SYN0060</x:v>
      </x:c>
      <x:c r="B63" s="51" t="n">
        <x:f>Members!B63</x:f>
        <x:v>46099</x:v>
      </x:c>
      <x:c r="C63" s="50" t="str">
        <x:f>Members!C63</x:f>
        <x:v>Direct</x:v>
      </x:c>
      <x:c r="D63" s="50" t="n">
        <x:f>IF($B63&lt;='Scorecard'!$B$3-7,1,0)</x:f>
        <x:v>1</x:v>
      </x:c>
      <x:c r="E63" s="50" t="n">
        <x:f>IF(COUNTIFS(Events!$B$4:$B$1456,$A63,Events!$C$4:$C$1456,"coach_contact_completed",Events!$D$4:$D$1456,"&gt;="&amp;($B63+0),Events!$D$4:$D$1456,"&lt;="&amp;($B63+7))&gt;0,1,0)</x:f>
        <x:v>1</x:v>
      </x:c>
      <x:c r="F63" s="50" t="n">
        <x:f>IF($B63&lt;='Scorecard'!$B$3-37,1,0)</x:f>
        <x:v>1</x:v>
      </x:c>
      <x:c r="G63" s="50" t="n">
        <x:f>IF(COUNTIFS(Events!$B$4:$B$1456,$A63,Events!$C$4:$C$1456,"day30_checkin_completed",Events!$D$4:$D$1456,"&gt;="&amp;($B63+28),Events!$D$4:$D$1456,"&lt;="&amp;($B63+37))&gt;0,1,0)</x:f>
        <x:v>0</x:v>
      </x:c>
      <x:c r="H63" s="50" t="n">
        <x:f>IF($B63&lt;='Scorecard'!$B$3-74,1,0)</x:f>
        <x:v>1</x:v>
      </x:c>
      <x:c r="I63" s="50" t="n">
        <x:f>IF(COUNTIFS(Events!$B$4:$B$1456,$A63,Events!$C$4:$C$1456,"day60_activity_observed",Events!$D$4:$D$1456,"&gt;="&amp;($B63+60),Events!$D$4:$D$1456,"&lt;="&amp;($B63+74))&gt;0,1,0)</x:f>
        <x:v>0</x:v>
      </x:c>
    </x:row>
    <x:row r="64">
      <x:c r="A64" s="50" t="str">
        <x:f>Members!A64</x:f>
        <x:v>SYN0061</x:v>
      </x:c>
      <x:c r="B64" s="51" t="n">
        <x:f>Members!B64</x:f>
        <x:v>46075</x:v>
      </x:c>
      <x:c r="C64" s="50" t="str">
        <x:f>Members!C64</x:f>
        <x:v>Direct</x:v>
      </x:c>
      <x:c r="D64" s="50" t="n">
        <x:f>IF($B64&lt;='Scorecard'!$B$3-7,1,0)</x:f>
        <x:v>1</x:v>
      </x:c>
      <x:c r="E64" s="50" t="n">
        <x:f>IF(COUNTIFS(Events!$B$4:$B$1456,$A64,Events!$C$4:$C$1456,"coach_contact_completed",Events!$D$4:$D$1456,"&gt;="&amp;($B64+0),Events!$D$4:$D$1456,"&lt;="&amp;($B64+7))&gt;0,1,0)</x:f>
        <x:v>0</x:v>
      </x:c>
      <x:c r="F64" s="50" t="n">
        <x:f>IF($B64&lt;='Scorecard'!$B$3-37,1,0)</x:f>
        <x:v>1</x:v>
      </x:c>
      <x:c r="G64" s="50" t="n">
        <x:f>IF(COUNTIFS(Events!$B$4:$B$1456,$A64,Events!$C$4:$C$1456,"day30_checkin_completed",Events!$D$4:$D$1456,"&gt;="&amp;($B64+28),Events!$D$4:$D$1456,"&lt;="&amp;($B64+37))&gt;0,1,0)</x:f>
        <x:v>1</x:v>
      </x:c>
      <x:c r="H64" s="50" t="n">
        <x:f>IF($B64&lt;='Scorecard'!$B$3-74,1,0)</x:f>
        <x:v>1</x:v>
      </x:c>
      <x:c r="I64" s="50" t="n">
        <x:f>IF(COUNTIFS(Events!$B$4:$B$1456,$A64,Events!$C$4:$C$1456,"day60_activity_observed",Events!$D$4:$D$1456,"&gt;="&amp;($B64+60),Events!$D$4:$D$1456,"&lt;="&amp;($B64+74))&gt;0,1,0)</x:f>
        <x:v>0</x:v>
      </x:c>
    </x:row>
    <x:row r="65">
      <x:c r="A65" s="50" t="str">
        <x:f>Members!A65</x:f>
        <x:v>SYN0062</x:v>
      </x:c>
      <x:c r="B65" s="51" t="n">
        <x:f>Members!B65</x:f>
        <x:v>46031</x:v>
      </x:c>
      <x:c r="C65" s="50" t="str">
        <x:f>Members!C65</x:f>
        <x:v>Direct</x:v>
      </x:c>
      <x:c r="D65" s="50" t="n">
        <x:f>IF($B65&lt;='Scorecard'!$B$3-7,1,0)</x:f>
        <x:v>1</x:v>
      </x:c>
      <x:c r="E65" s="50" t="n">
        <x:f>IF(COUNTIFS(Events!$B$4:$B$1456,$A65,Events!$C$4:$C$1456,"coach_contact_completed",Events!$D$4:$D$1456,"&gt;="&amp;($B65+0),Events!$D$4:$D$1456,"&lt;="&amp;($B65+7))&gt;0,1,0)</x:f>
        <x:v>1</x:v>
      </x:c>
      <x:c r="F65" s="50" t="n">
        <x:f>IF($B65&lt;='Scorecard'!$B$3-37,1,0)</x:f>
        <x:v>1</x:v>
      </x:c>
      <x:c r="G65" s="50" t="n">
        <x:f>IF(COUNTIFS(Events!$B$4:$B$1456,$A65,Events!$C$4:$C$1456,"day30_checkin_completed",Events!$D$4:$D$1456,"&gt;="&amp;($B65+28),Events!$D$4:$D$1456,"&lt;="&amp;($B65+37))&gt;0,1,0)</x:f>
        <x:v>1</x:v>
      </x:c>
      <x:c r="H65" s="50" t="n">
        <x:f>IF($B65&lt;='Scorecard'!$B$3-74,1,0)</x:f>
        <x:v>1</x:v>
      </x:c>
      <x:c r="I65" s="50" t="n">
        <x:f>IF(COUNTIFS(Events!$B$4:$B$1456,$A65,Events!$C$4:$C$1456,"day60_activity_observed",Events!$D$4:$D$1456,"&gt;="&amp;($B65+60),Events!$D$4:$D$1456,"&lt;="&amp;($B65+74))&gt;0,1,0)</x:f>
        <x:v>1</x:v>
      </x:c>
    </x:row>
    <x:row r="66">
      <x:c r="A66" s="50" t="str">
        <x:f>Members!A66</x:f>
        <x:v>SYN0063</x:v>
      </x:c>
      <x:c r="B66" s="51" t="n">
        <x:f>Members!B66</x:f>
        <x:v>46084</x:v>
      </x:c>
      <x:c r="C66" s="50" t="str">
        <x:f>Members!C66</x:f>
        <x:v>Direct</x:v>
      </x:c>
      <x:c r="D66" s="50" t="n">
        <x:f>IF($B66&lt;='Scorecard'!$B$3-7,1,0)</x:f>
        <x:v>1</x:v>
      </x:c>
      <x:c r="E66" s="50" t="n">
        <x:f>IF(COUNTIFS(Events!$B$4:$B$1456,$A66,Events!$C$4:$C$1456,"coach_contact_completed",Events!$D$4:$D$1456,"&gt;="&amp;($B66+0),Events!$D$4:$D$1456,"&lt;="&amp;($B66+7))&gt;0,1,0)</x:f>
        <x:v>0</x:v>
      </x:c>
      <x:c r="F66" s="50" t="n">
        <x:f>IF($B66&lt;='Scorecard'!$B$3-37,1,0)</x:f>
        <x:v>1</x:v>
      </x:c>
      <x:c r="G66" s="50" t="n">
        <x:f>IF(COUNTIFS(Events!$B$4:$B$1456,$A66,Events!$C$4:$C$1456,"day30_checkin_completed",Events!$D$4:$D$1456,"&gt;="&amp;($B66+28),Events!$D$4:$D$1456,"&lt;="&amp;($B66+37))&gt;0,1,0)</x:f>
        <x:v>0</x:v>
      </x:c>
      <x:c r="H66" s="50" t="n">
        <x:f>IF($B66&lt;='Scorecard'!$B$3-74,1,0)</x:f>
        <x:v>1</x:v>
      </x:c>
      <x:c r="I66" s="50" t="n">
        <x:f>IF(COUNTIFS(Events!$B$4:$B$1456,$A66,Events!$C$4:$C$1456,"day60_activity_observed",Events!$D$4:$D$1456,"&gt;="&amp;($B66+60),Events!$D$4:$D$1456,"&lt;="&amp;($B66+74))&gt;0,1,0)</x:f>
        <x:v>1</x:v>
      </x:c>
    </x:row>
    <x:row r="67">
      <x:c r="A67" s="50" t="str">
        <x:f>Members!A67</x:f>
        <x:v>SYN0064</x:v>
      </x:c>
      <x:c r="B67" s="51" t="n">
        <x:f>Members!B67</x:f>
        <x:v>46116</x:v>
      </x:c>
      <x:c r="C67" s="50" t="str">
        <x:f>Members!C67</x:f>
        <x:v>Employer</x:v>
      </x:c>
      <x:c r="D67" s="50" t="n">
        <x:f>IF($B67&lt;='Scorecard'!$B$3-7,1,0)</x:f>
        <x:v>1</x:v>
      </x:c>
      <x:c r="E67" s="50" t="n">
        <x:f>IF(COUNTIFS(Events!$B$4:$B$1456,$A67,Events!$C$4:$C$1456,"coach_contact_completed",Events!$D$4:$D$1456,"&gt;="&amp;($B67+0),Events!$D$4:$D$1456,"&lt;="&amp;($B67+7))&gt;0,1,0)</x:f>
        <x:v>1</x:v>
      </x:c>
      <x:c r="F67" s="50" t="n">
        <x:f>IF($B67&lt;='Scorecard'!$B$3-37,1,0)</x:f>
        <x:v>1</x:v>
      </x:c>
      <x:c r="G67" s="50" t="n">
        <x:f>IF(COUNTIFS(Events!$B$4:$B$1456,$A67,Events!$C$4:$C$1456,"day30_checkin_completed",Events!$D$4:$D$1456,"&gt;="&amp;($B67+28),Events!$D$4:$D$1456,"&lt;="&amp;($B67+37))&gt;0,1,0)</x:f>
        <x:v>0</x:v>
      </x:c>
      <x:c r="H67" s="50" t="n">
        <x:f>IF($B67&lt;='Scorecard'!$B$3-74,1,0)</x:f>
        <x:v>1</x:v>
      </x:c>
      <x:c r="I67" s="50" t="n">
        <x:f>IF(COUNTIFS(Events!$B$4:$B$1456,$A67,Events!$C$4:$C$1456,"day60_activity_observed",Events!$D$4:$D$1456,"&gt;="&amp;($B67+60),Events!$D$4:$D$1456,"&lt;="&amp;($B67+74))&gt;0,1,0)</x:f>
        <x:v>0</x:v>
      </x:c>
    </x:row>
    <x:row r="68">
      <x:c r="A68" s="50" t="str">
        <x:f>Members!A68</x:f>
        <x:v>SYN0065</x:v>
      </x:c>
      <x:c r="B68" s="51" t="n">
        <x:f>Members!B68</x:f>
        <x:v>46256</x:v>
      </x:c>
      <x:c r="C68" s="50" t="str">
        <x:f>Members!C68</x:f>
        <x:v>Direct</x:v>
      </x:c>
      <x:c r="D68" s="50" t="n">
        <x:f>IF($B68&lt;='Scorecard'!$B$3-7,1,0)</x:f>
        <x:v>1</x:v>
      </x:c>
      <x:c r="E68" s="50" t="n">
        <x:f>IF(COUNTIFS(Events!$B$4:$B$1456,$A68,Events!$C$4:$C$1456,"coach_contact_completed",Events!$D$4:$D$1456,"&gt;="&amp;($B68+0),Events!$D$4:$D$1456,"&lt;="&amp;($B68+7))&gt;0,1,0)</x:f>
        <x:v>0</x:v>
      </x:c>
      <x:c r="F68" s="50" t="n">
        <x:f>IF($B68&lt;='Scorecard'!$B$3-37,1,0)</x:f>
        <x:v>1</x:v>
      </x:c>
      <x:c r="G68" s="50" t="n">
        <x:f>IF(COUNTIFS(Events!$B$4:$B$1456,$A68,Events!$C$4:$C$1456,"day30_checkin_completed",Events!$D$4:$D$1456,"&gt;="&amp;($B68+28),Events!$D$4:$D$1456,"&lt;="&amp;($B68+37))&gt;0,1,0)</x:f>
        <x:v>1</x:v>
      </x:c>
      <x:c r="H68" s="50" t="n">
        <x:f>IF($B68&lt;='Scorecard'!$B$3-74,1,0)</x:f>
        <x:v>0</x:v>
      </x:c>
      <x:c r="I68" s="50" t="n">
        <x:f>IF(COUNTIFS(Events!$B$4:$B$1456,$A68,Events!$C$4:$C$1456,"day60_activity_observed",Events!$D$4:$D$1456,"&gt;="&amp;($B68+60),Events!$D$4:$D$1456,"&lt;="&amp;($B68+74))&gt;0,1,0)</x:f>
        <x:v>0</x:v>
      </x:c>
    </x:row>
    <x:row r="69">
      <x:c r="A69" s="50" t="str">
        <x:f>Members!A69</x:f>
        <x:v>SYN0066</x:v>
      </x:c>
      <x:c r="B69" s="51" t="n">
        <x:f>Members!B69</x:f>
        <x:v>46258</x:v>
      </x:c>
      <x:c r="C69" s="50" t="str">
        <x:f>Members!C69</x:f>
        <x:v>Employer</x:v>
      </x:c>
      <x:c r="D69" s="50" t="n">
        <x:f>IF($B69&lt;='Scorecard'!$B$3-7,1,0)</x:f>
        <x:v>1</x:v>
      </x:c>
      <x:c r="E69" s="50" t="n">
        <x:f>IF(COUNTIFS(Events!$B$4:$B$1456,$A69,Events!$C$4:$C$1456,"coach_contact_completed",Events!$D$4:$D$1456,"&gt;="&amp;($B69+0),Events!$D$4:$D$1456,"&lt;="&amp;($B69+7))&gt;0,1,0)</x:f>
        <x:v>1</x:v>
      </x:c>
      <x:c r="F69" s="50" t="n">
        <x:f>IF($B69&lt;='Scorecard'!$B$3-37,1,0)</x:f>
        <x:v>1</x:v>
      </x:c>
      <x:c r="G69" s="50" t="n">
        <x:f>IF(COUNTIFS(Events!$B$4:$B$1456,$A69,Events!$C$4:$C$1456,"day30_checkin_completed",Events!$D$4:$D$1456,"&gt;="&amp;($B69+28),Events!$D$4:$D$1456,"&lt;="&amp;($B69+37))&gt;0,1,0)</x:f>
        <x:v>1</x:v>
      </x:c>
      <x:c r="H69" s="50" t="n">
        <x:f>IF($B69&lt;='Scorecard'!$B$3-74,1,0)</x:f>
        <x:v>0</x:v>
      </x:c>
      <x:c r="I69" s="50" t="n">
        <x:f>IF(COUNTIFS(Events!$B$4:$B$1456,$A69,Events!$C$4:$C$1456,"day60_activity_observed",Events!$D$4:$D$1456,"&gt;="&amp;($B69+60),Events!$D$4:$D$1456,"&lt;="&amp;($B69+74))&gt;0,1,0)</x:f>
        <x:v>0</x:v>
      </x:c>
    </x:row>
    <x:row r="70">
      <x:c r="A70" s="50" t="str">
        <x:f>Members!A70</x:f>
        <x:v>SYN0067</x:v>
      </x:c>
      <x:c r="B70" s="51" t="n">
        <x:f>Members!B70</x:f>
        <x:v>46221</x:v>
      </x:c>
      <x:c r="C70" s="50" t="str">
        <x:f>Members!C70</x:f>
        <x:v>Direct</x:v>
      </x:c>
      <x:c r="D70" s="50" t="n">
        <x:f>IF($B70&lt;='Scorecard'!$B$3-7,1,0)</x:f>
        <x:v>1</x:v>
      </x:c>
      <x:c r="E70" s="50" t="n">
        <x:f>IF(COUNTIFS(Events!$B$4:$B$1456,$A70,Events!$C$4:$C$1456,"coach_contact_completed",Events!$D$4:$D$1456,"&gt;="&amp;($B70+0),Events!$D$4:$D$1456,"&lt;="&amp;($B70+7))&gt;0,1,0)</x:f>
        <x:v>0</x:v>
      </x:c>
      <x:c r="F70" s="50" t="n">
        <x:f>IF($B70&lt;='Scorecard'!$B$3-37,1,0)</x:f>
        <x:v>1</x:v>
      </x:c>
      <x:c r="G70" s="50" t="n">
        <x:f>IF(COUNTIFS(Events!$B$4:$B$1456,$A70,Events!$C$4:$C$1456,"day30_checkin_completed",Events!$D$4:$D$1456,"&gt;="&amp;($B70+28),Events!$D$4:$D$1456,"&lt;="&amp;($B70+37))&gt;0,1,0)</x:f>
        <x:v>1</x:v>
      </x:c>
      <x:c r="H70" s="50" t="n">
        <x:f>IF($B70&lt;='Scorecard'!$B$3-74,1,0)</x:f>
        <x:v>1</x:v>
      </x:c>
      <x:c r="I70" s="50" t="n">
        <x:f>IF(COUNTIFS(Events!$B$4:$B$1456,$A70,Events!$C$4:$C$1456,"day60_activity_observed",Events!$D$4:$D$1456,"&gt;="&amp;($B70+60),Events!$D$4:$D$1456,"&lt;="&amp;($B70+74))&gt;0,1,0)</x:f>
        <x:v>0</x:v>
      </x:c>
    </x:row>
    <x:row r="71">
      <x:c r="A71" s="50" t="str">
        <x:f>Members!A71</x:f>
        <x:v>SYN0068</x:v>
      </x:c>
      <x:c r="B71" s="51" t="n">
        <x:f>Members!B71</x:f>
        <x:v>46107</x:v>
      </x:c>
      <x:c r="C71" s="50" t="str">
        <x:f>Members!C71</x:f>
        <x:v>Employer</x:v>
      </x:c>
      <x:c r="D71" s="50" t="n">
        <x:f>IF($B71&lt;='Scorecard'!$B$3-7,1,0)</x:f>
        <x:v>1</x:v>
      </x:c>
      <x:c r="E71" s="50" t="n">
        <x:f>IF(COUNTIFS(Events!$B$4:$B$1456,$A71,Events!$C$4:$C$1456,"coach_contact_completed",Events!$D$4:$D$1456,"&gt;="&amp;($B71+0),Events!$D$4:$D$1456,"&lt;="&amp;($B71+7))&gt;0,1,0)</x:f>
        <x:v>1</x:v>
      </x:c>
      <x:c r="F71" s="50" t="n">
        <x:f>IF($B71&lt;='Scorecard'!$B$3-37,1,0)</x:f>
        <x:v>1</x:v>
      </x:c>
      <x:c r="G71" s="50" t="n">
        <x:f>IF(COUNTIFS(Events!$B$4:$B$1456,$A71,Events!$C$4:$C$1456,"day30_checkin_completed",Events!$D$4:$D$1456,"&gt;="&amp;($B71+28),Events!$D$4:$D$1456,"&lt;="&amp;($B71+37))&gt;0,1,0)</x:f>
        <x:v>1</x:v>
      </x:c>
      <x:c r="H71" s="50" t="n">
        <x:f>IF($B71&lt;='Scorecard'!$B$3-74,1,0)</x:f>
        <x:v>1</x:v>
      </x:c>
      <x:c r="I71" s="50" t="n">
        <x:f>IF(COUNTIFS(Events!$B$4:$B$1456,$A71,Events!$C$4:$C$1456,"day60_activity_observed",Events!$D$4:$D$1456,"&gt;="&amp;($B71+60),Events!$D$4:$D$1456,"&lt;="&amp;($B71+74))&gt;0,1,0)</x:f>
        <x:v>1</x:v>
      </x:c>
    </x:row>
    <x:row r="72">
      <x:c r="A72" s="50" t="str">
        <x:f>Members!A72</x:f>
        <x:v>SYN0069</x:v>
      </x:c>
      <x:c r="B72" s="51" t="n">
        <x:f>Members!B72</x:f>
        <x:v>46234</x:v>
      </x:c>
      <x:c r="C72" s="50" t="str">
        <x:f>Members!C72</x:f>
        <x:v>Direct</x:v>
      </x:c>
      <x:c r="D72" s="50" t="n">
        <x:f>IF($B72&lt;='Scorecard'!$B$3-7,1,0)</x:f>
        <x:v>1</x:v>
      </x:c>
      <x:c r="E72" s="50" t="n">
        <x:f>IF(COUNTIFS(Events!$B$4:$B$1456,$A72,Events!$C$4:$C$1456,"coach_contact_completed",Events!$D$4:$D$1456,"&gt;="&amp;($B72+0),Events!$D$4:$D$1456,"&lt;="&amp;($B72+7))&gt;0,1,0)</x:f>
        <x:v>1</x:v>
      </x:c>
      <x:c r="F72" s="50" t="n">
        <x:f>IF($B72&lt;='Scorecard'!$B$3-37,1,0)</x:f>
        <x:v>1</x:v>
      </x:c>
      <x:c r="G72" s="50" t="n">
        <x:f>IF(COUNTIFS(Events!$B$4:$B$1456,$A72,Events!$C$4:$C$1456,"day30_checkin_completed",Events!$D$4:$D$1456,"&gt;="&amp;($B72+28),Events!$D$4:$D$1456,"&lt;="&amp;($B72+37))&gt;0,1,0)</x:f>
        <x:v>1</x:v>
      </x:c>
      <x:c r="H72" s="50" t="n">
        <x:f>IF($B72&lt;='Scorecard'!$B$3-74,1,0)</x:f>
        <x:v>0</x:v>
      </x:c>
      <x:c r="I72" s="50" t="n">
        <x:f>IF(COUNTIFS(Events!$B$4:$B$1456,$A72,Events!$C$4:$C$1456,"day60_activity_observed",Events!$D$4:$D$1456,"&gt;="&amp;($B72+60),Events!$D$4:$D$1456,"&lt;="&amp;($B72+74))&gt;0,1,0)</x:f>
        <x:v>0</x:v>
      </x:c>
    </x:row>
    <x:row r="73">
      <x:c r="A73" s="50" t="str">
        <x:f>Members!A73</x:f>
        <x:v>SYN0070</x:v>
      </x:c>
      <x:c r="B73" s="51" t="n">
        <x:f>Members!B73</x:f>
        <x:v>46031</x:v>
      </x:c>
      <x:c r="C73" s="50" t="str">
        <x:f>Members!C73</x:f>
        <x:v>Employer</x:v>
      </x:c>
      <x:c r="D73" s="50" t="n">
        <x:f>IF($B73&lt;='Scorecard'!$B$3-7,1,0)</x:f>
        <x:v>1</x:v>
      </x:c>
      <x:c r="E73" s="50" t="n">
        <x:f>IF(COUNTIFS(Events!$B$4:$B$1456,$A73,Events!$C$4:$C$1456,"coach_contact_completed",Events!$D$4:$D$1456,"&gt;="&amp;($B73+0),Events!$D$4:$D$1456,"&lt;="&amp;($B73+7))&gt;0,1,0)</x:f>
        <x:v>1</x:v>
      </x:c>
      <x:c r="F73" s="50" t="n">
        <x:f>IF($B73&lt;='Scorecard'!$B$3-37,1,0)</x:f>
        <x:v>1</x:v>
      </x:c>
      <x:c r="G73" s="50" t="n">
        <x:f>IF(COUNTIFS(Events!$B$4:$B$1456,$A73,Events!$C$4:$C$1456,"day30_checkin_completed",Events!$D$4:$D$1456,"&gt;="&amp;($B73+28),Events!$D$4:$D$1456,"&lt;="&amp;($B73+37))&gt;0,1,0)</x:f>
        <x:v>1</x:v>
      </x:c>
      <x:c r="H73" s="50" t="n">
        <x:f>IF($B73&lt;='Scorecard'!$B$3-74,1,0)</x:f>
        <x:v>1</x:v>
      </x:c>
      <x:c r="I73" s="50" t="n">
        <x:f>IF(COUNTIFS(Events!$B$4:$B$1456,$A73,Events!$C$4:$C$1456,"day60_activity_observed",Events!$D$4:$D$1456,"&gt;="&amp;($B73+60),Events!$D$4:$D$1456,"&lt;="&amp;($B73+74))&gt;0,1,0)</x:f>
        <x:v>0</x:v>
      </x:c>
    </x:row>
    <x:row r="74">
      <x:c r="A74" s="50" t="str">
        <x:f>Members!A74</x:f>
        <x:v>SYN0071</x:v>
      </x:c>
      <x:c r="B74" s="51" t="n">
        <x:f>Members!B74</x:f>
        <x:v>46043</x:v>
      </x:c>
      <x:c r="C74" s="50" t="str">
        <x:f>Members!C74</x:f>
        <x:v>Direct</x:v>
      </x:c>
      <x:c r="D74" s="50" t="n">
        <x:f>IF($B74&lt;='Scorecard'!$B$3-7,1,0)</x:f>
        <x:v>1</x:v>
      </x:c>
      <x:c r="E74" s="50" t="n">
        <x:f>IF(COUNTIFS(Events!$B$4:$B$1456,$A74,Events!$C$4:$C$1456,"coach_contact_completed",Events!$D$4:$D$1456,"&gt;="&amp;($B74+0),Events!$D$4:$D$1456,"&lt;="&amp;($B74+7))&gt;0,1,0)</x:f>
        <x:v>0</x:v>
      </x:c>
      <x:c r="F74" s="50" t="n">
        <x:f>IF($B74&lt;='Scorecard'!$B$3-37,1,0)</x:f>
        <x:v>1</x:v>
      </x:c>
      <x:c r="G74" s="50" t="n">
        <x:f>IF(COUNTIFS(Events!$B$4:$B$1456,$A74,Events!$C$4:$C$1456,"day30_checkin_completed",Events!$D$4:$D$1456,"&gt;="&amp;($B74+28),Events!$D$4:$D$1456,"&lt;="&amp;($B74+37))&gt;0,1,0)</x:f>
        <x:v>1</x:v>
      </x:c>
      <x:c r="H74" s="50" t="n">
        <x:f>IF($B74&lt;='Scorecard'!$B$3-74,1,0)</x:f>
        <x:v>1</x:v>
      </x:c>
      <x:c r="I74" s="50" t="n">
        <x:f>IF(COUNTIFS(Events!$B$4:$B$1456,$A74,Events!$C$4:$C$1456,"day60_activity_observed",Events!$D$4:$D$1456,"&gt;="&amp;($B74+60),Events!$D$4:$D$1456,"&lt;="&amp;($B74+74))&gt;0,1,0)</x:f>
        <x:v>1</x:v>
      </x:c>
    </x:row>
    <x:row r="75">
      <x:c r="A75" s="50" t="str">
        <x:f>Members!A75</x:f>
        <x:v>SYN0072</x:v>
      </x:c>
      <x:c r="B75" s="51" t="n">
        <x:f>Members!B75</x:f>
        <x:v>46265</x:v>
      </x:c>
      <x:c r="C75" s="50" t="str">
        <x:f>Members!C75</x:f>
        <x:v>Direct</x:v>
      </x:c>
      <x:c r="D75" s="50" t="n">
        <x:f>IF($B75&lt;='Scorecard'!$B$3-7,1,0)</x:f>
        <x:v>1</x:v>
      </x:c>
      <x:c r="E75" s="50" t="n">
        <x:f>IF(COUNTIFS(Events!$B$4:$B$1456,$A75,Events!$C$4:$C$1456,"coach_contact_completed",Events!$D$4:$D$1456,"&gt;="&amp;($B75+0),Events!$D$4:$D$1456,"&lt;="&amp;($B75+7))&gt;0,1,0)</x:f>
        <x:v>1</x:v>
      </x:c>
      <x:c r="F75" s="50" t="n">
        <x:f>IF($B75&lt;='Scorecard'!$B$3-37,1,0)</x:f>
        <x:v>0</x:v>
      </x:c>
      <x:c r="G75" s="50" t="n">
        <x:f>IF(COUNTIFS(Events!$B$4:$B$1456,$A75,Events!$C$4:$C$1456,"day30_checkin_completed",Events!$D$4:$D$1456,"&gt;="&amp;($B75+28),Events!$D$4:$D$1456,"&lt;="&amp;($B75+37))&gt;0,1,0)</x:f>
        <x:v>1</x:v>
      </x:c>
      <x:c r="H75" s="50" t="n">
        <x:f>IF($B75&lt;='Scorecard'!$B$3-74,1,0)</x:f>
        <x:v>0</x:v>
      </x:c>
      <x:c r="I75" s="50" t="n">
        <x:f>IF(COUNTIFS(Events!$B$4:$B$1456,$A75,Events!$C$4:$C$1456,"day60_activity_observed",Events!$D$4:$D$1456,"&gt;="&amp;($B75+60),Events!$D$4:$D$1456,"&lt;="&amp;($B75+74))&gt;0,1,0)</x:f>
        <x:v>0</x:v>
      </x:c>
    </x:row>
    <x:row r="76">
      <x:c r="A76" s="50" t="str">
        <x:f>Members!A76</x:f>
        <x:v>SYN0073</x:v>
      </x:c>
      <x:c r="B76" s="51" t="n">
        <x:f>Members!B76</x:f>
        <x:v>46240</x:v>
      </x:c>
      <x:c r="C76" s="50" t="str">
        <x:f>Members!C76</x:f>
        <x:v>Direct</x:v>
      </x:c>
      <x:c r="D76" s="50" t="n">
        <x:f>IF($B76&lt;='Scorecard'!$B$3-7,1,0)</x:f>
        <x:v>1</x:v>
      </x:c>
      <x:c r="E76" s="50" t="n">
        <x:f>IF(COUNTIFS(Events!$B$4:$B$1456,$A76,Events!$C$4:$C$1456,"coach_contact_completed",Events!$D$4:$D$1456,"&gt;="&amp;($B76+0),Events!$D$4:$D$1456,"&lt;="&amp;($B76+7))&gt;0,1,0)</x:f>
        <x:v>1</x:v>
      </x:c>
      <x:c r="F76" s="50" t="n">
        <x:f>IF($B76&lt;='Scorecard'!$B$3-37,1,0)</x:f>
        <x:v>1</x:v>
      </x:c>
      <x:c r="G76" s="50" t="n">
        <x:f>IF(COUNTIFS(Events!$B$4:$B$1456,$A76,Events!$C$4:$C$1456,"day30_checkin_completed",Events!$D$4:$D$1456,"&gt;="&amp;($B76+28),Events!$D$4:$D$1456,"&lt;="&amp;($B76+37))&gt;0,1,0)</x:f>
        <x:v>0</x:v>
      </x:c>
      <x:c r="H76" s="50" t="n">
        <x:f>IF($B76&lt;='Scorecard'!$B$3-74,1,0)</x:f>
        <x:v>0</x:v>
      </x:c>
      <x:c r="I76" s="50" t="n">
        <x:f>IF(COUNTIFS(Events!$B$4:$B$1456,$A76,Events!$C$4:$C$1456,"day60_activity_observed",Events!$D$4:$D$1456,"&gt;="&amp;($B76+60),Events!$D$4:$D$1456,"&lt;="&amp;($B76+74))&gt;0,1,0)</x:f>
        <x:v>0</x:v>
      </x:c>
    </x:row>
    <x:row r="77">
      <x:c r="A77" s="50" t="str">
        <x:f>Members!A77</x:f>
        <x:v>SYN0074</x:v>
      </x:c>
      <x:c r="B77" s="51" t="n">
        <x:f>Members!B77</x:f>
        <x:v>46165</x:v>
      </x:c>
      <x:c r="C77" s="50" t="str">
        <x:f>Members!C77</x:f>
        <x:v>Direct</x:v>
      </x:c>
      <x:c r="D77" s="50" t="n">
        <x:f>IF($B77&lt;='Scorecard'!$B$3-7,1,0)</x:f>
        <x:v>1</x:v>
      </x:c>
      <x:c r="E77" s="50" t="n">
        <x:f>IF(COUNTIFS(Events!$B$4:$B$1456,$A77,Events!$C$4:$C$1456,"coach_contact_completed",Events!$D$4:$D$1456,"&gt;="&amp;($B77+0),Events!$D$4:$D$1456,"&lt;="&amp;($B77+7))&gt;0,1,0)</x:f>
        <x:v>0</x:v>
      </x:c>
      <x:c r="F77" s="50" t="n">
        <x:f>IF($B77&lt;='Scorecard'!$B$3-37,1,0)</x:f>
        <x:v>1</x:v>
      </x:c>
      <x:c r="G77" s="50" t="n">
        <x:f>IF(COUNTIFS(Events!$B$4:$B$1456,$A77,Events!$C$4:$C$1456,"day30_checkin_completed",Events!$D$4:$D$1456,"&gt;="&amp;($B77+28),Events!$D$4:$D$1456,"&lt;="&amp;($B77+37))&gt;0,1,0)</x:f>
        <x:v>1</x:v>
      </x:c>
      <x:c r="H77" s="50" t="n">
        <x:f>IF($B77&lt;='Scorecard'!$B$3-74,1,0)</x:f>
        <x:v>1</x:v>
      </x:c>
      <x:c r="I77" s="50" t="n">
        <x:f>IF(COUNTIFS(Events!$B$4:$B$1456,$A77,Events!$C$4:$C$1456,"day60_activity_observed",Events!$D$4:$D$1456,"&gt;="&amp;($B77+60),Events!$D$4:$D$1456,"&lt;="&amp;($B77+74))&gt;0,1,0)</x:f>
        <x:v>1</x:v>
      </x:c>
    </x:row>
    <x:row r="78">
      <x:c r="A78" s="50" t="str">
        <x:f>Members!A78</x:f>
        <x:v>SYN0075</x:v>
      </x:c>
      <x:c r="B78" s="51" t="n">
        <x:f>Members!B78</x:f>
        <x:v>46122</x:v>
      </x:c>
      <x:c r="C78" s="50" t="str">
        <x:f>Members!C78</x:f>
        <x:v>Direct</x:v>
      </x:c>
      <x:c r="D78" s="50" t="n">
        <x:f>IF($B78&lt;='Scorecard'!$B$3-7,1,0)</x:f>
        <x:v>1</x:v>
      </x:c>
      <x:c r="E78" s="50" t="n">
        <x:f>IF(COUNTIFS(Events!$B$4:$B$1456,$A78,Events!$C$4:$C$1456,"coach_contact_completed",Events!$D$4:$D$1456,"&gt;="&amp;($B78+0),Events!$D$4:$D$1456,"&lt;="&amp;($B78+7))&gt;0,1,0)</x:f>
        <x:v>0</x:v>
      </x:c>
      <x:c r="F78" s="50" t="n">
        <x:f>IF($B78&lt;='Scorecard'!$B$3-37,1,0)</x:f>
        <x:v>1</x:v>
      </x:c>
      <x:c r="G78" s="50" t="n">
        <x:f>IF(COUNTIFS(Events!$B$4:$B$1456,$A78,Events!$C$4:$C$1456,"day30_checkin_completed",Events!$D$4:$D$1456,"&gt;="&amp;($B78+28),Events!$D$4:$D$1456,"&lt;="&amp;($B78+37))&gt;0,1,0)</x:f>
        <x:v>0</x:v>
      </x:c>
      <x:c r="H78" s="50" t="n">
        <x:f>IF($B78&lt;='Scorecard'!$B$3-74,1,0)</x:f>
        <x:v>1</x:v>
      </x:c>
      <x:c r="I78" s="50" t="n">
        <x:f>IF(COUNTIFS(Events!$B$4:$B$1456,$A78,Events!$C$4:$C$1456,"day60_activity_observed",Events!$D$4:$D$1456,"&gt;="&amp;($B78+60),Events!$D$4:$D$1456,"&lt;="&amp;($B78+74))&gt;0,1,0)</x:f>
        <x:v>0</x:v>
      </x:c>
    </x:row>
    <x:row r="79">
      <x:c r="A79" s="50" t="str">
        <x:f>Members!A79</x:f>
        <x:v>SYN0076</x:v>
      </x:c>
      <x:c r="B79" s="51" t="n">
        <x:f>Members!B79</x:f>
        <x:v>46159</x:v>
      </x:c>
      <x:c r="C79" s="50" t="str">
        <x:f>Members!C79</x:f>
        <x:v>Direct</x:v>
      </x:c>
      <x:c r="D79" s="50" t="n">
        <x:f>IF($B79&lt;='Scorecard'!$B$3-7,1,0)</x:f>
        <x:v>1</x:v>
      </x:c>
      <x:c r="E79" s="50" t="n">
        <x:f>IF(COUNTIFS(Events!$B$4:$B$1456,$A79,Events!$C$4:$C$1456,"coach_contact_completed",Events!$D$4:$D$1456,"&gt;="&amp;($B79+0),Events!$D$4:$D$1456,"&lt;="&amp;($B79+7))&gt;0,1,0)</x:f>
        <x:v>1</x:v>
      </x:c>
      <x:c r="F79" s="50" t="n">
        <x:f>IF($B79&lt;='Scorecard'!$B$3-37,1,0)</x:f>
        <x:v>1</x:v>
      </x:c>
      <x:c r="G79" s="50" t="n">
        <x:f>IF(COUNTIFS(Events!$B$4:$B$1456,$A79,Events!$C$4:$C$1456,"day30_checkin_completed",Events!$D$4:$D$1456,"&gt;="&amp;($B79+28),Events!$D$4:$D$1456,"&lt;="&amp;($B79+37))&gt;0,1,0)</x:f>
        <x:v>1</x:v>
      </x:c>
      <x:c r="H79" s="50" t="n">
        <x:f>IF($B79&lt;='Scorecard'!$B$3-74,1,0)</x:f>
        <x:v>1</x:v>
      </x:c>
      <x:c r="I79" s="50" t="n">
        <x:f>IF(COUNTIFS(Events!$B$4:$B$1456,$A79,Events!$C$4:$C$1456,"day60_activity_observed",Events!$D$4:$D$1456,"&gt;="&amp;($B79+60),Events!$D$4:$D$1456,"&lt;="&amp;($B79+74))&gt;0,1,0)</x:f>
        <x:v>1</x:v>
      </x:c>
    </x:row>
    <x:row r="80">
      <x:c r="A80" s="50" t="str">
        <x:f>Members!A80</x:f>
        <x:v>SYN0077</x:v>
      </x:c>
      <x:c r="B80" s="51" t="n">
        <x:f>Members!B80</x:f>
        <x:v>46066</x:v>
      </x:c>
      <x:c r="C80" s="50" t="str">
        <x:f>Members!C80</x:f>
        <x:v>Direct</x:v>
      </x:c>
      <x:c r="D80" s="50" t="n">
        <x:f>IF($B80&lt;='Scorecard'!$B$3-7,1,0)</x:f>
        <x:v>1</x:v>
      </x:c>
      <x:c r="E80" s="50" t="n">
        <x:f>IF(COUNTIFS(Events!$B$4:$B$1456,$A80,Events!$C$4:$C$1456,"coach_contact_completed",Events!$D$4:$D$1456,"&gt;="&amp;($B80+0),Events!$D$4:$D$1456,"&lt;="&amp;($B80+7))&gt;0,1,0)</x:f>
        <x:v>1</x:v>
      </x:c>
      <x:c r="F80" s="50" t="n">
        <x:f>IF($B80&lt;='Scorecard'!$B$3-37,1,0)</x:f>
        <x:v>1</x:v>
      </x:c>
      <x:c r="G80" s="50" t="n">
        <x:f>IF(COUNTIFS(Events!$B$4:$B$1456,$A80,Events!$C$4:$C$1456,"day30_checkin_completed",Events!$D$4:$D$1456,"&gt;="&amp;($B80+28),Events!$D$4:$D$1456,"&lt;="&amp;($B80+37))&gt;0,1,0)</x:f>
        <x:v>1</x:v>
      </x:c>
      <x:c r="H80" s="50" t="n">
        <x:f>IF($B80&lt;='Scorecard'!$B$3-74,1,0)</x:f>
        <x:v>1</x:v>
      </x:c>
      <x:c r="I80" s="50" t="n">
        <x:f>IF(COUNTIFS(Events!$B$4:$B$1456,$A80,Events!$C$4:$C$1456,"day60_activity_observed",Events!$D$4:$D$1456,"&gt;="&amp;($B80+60),Events!$D$4:$D$1456,"&lt;="&amp;($B80+74))&gt;0,1,0)</x:f>
        <x:v>1</x:v>
      </x:c>
    </x:row>
    <x:row r="81">
      <x:c r="A81" s="50" t="str">
        <x:f>Members!A81</x:f>
        <x:v>SYN0078</x:v>
      </x:c>
      <x:c r="B81" s="51" t="n">
        <x:f>Members!B81</x:f>
        <x:v>46204</x:v>
      </x:c>
      <x:c r="C81" s="50" t="str">
        <x:f>Members!C81</x:f>
        <x:v>Direct</x:v>
      </x:c>
      <x:c r="D81" s="50" t="n">
        <x:f>IF($B81&lt;='Scorecard'!$B$3-7,1,0)</x:f>
        <x:v>1</x:v>
      </x:c>
      <x:c r="E81" s="50" t="n">
        <x:f>IF(COUNTIFS(Events!$B$4:$B$1456,$A81,Events!$C$4:$C$1456,"coach_contact_completed",Events!$D$4:$D$1456,"&gt;="&amp;($B81+0),Events!$D$4:$D$1456,"&lt;="&amp;($B81+7))&gt;0,1,0)</x:f>
        <x:v>0</x:v>
      </x:c>
      <x:c r="F81" s="50" t="n">
        <x:f>IF($B81&lt;='Scorecard'!$B$3-37,1,0)</x:f>
        <x:v>1</x:v>
      </x:c>
      <x:c r="G81" s="50" t="n">
        <x:f>IF(COUNTIFS(Events!$B$4:$B$1456,$A81,Events!$C$4:$C$1456,"day30_checkin_completed",Events!$D$4:$D$1456,"&gt;="&amp;($B81+28),Events!$D$4:$D$1456,"&lt;="&amp;($B81+37))&gt;0,1,0)</x:f>
        <x:v>1</x:v>
      </x:c>
      <x:c r="H81" s="50" t="n">
        <x:f>IF($B81&lt;='Scorecard'!$B$3-74,1,0)</x:f>
        <x:v>1</x:v>
      </x:c>
      <x:c r="I81" s="50" t="n">
        <x:f>IF(COUNTIFS(Events!$B$4:$B$1456,$A81,Events!$C$4:$C$1456,"day60_activity_observed",Events!$D$4:$D$1456,"&gt;="&amp;($B81+60),Events!$D$4:$D$1456,"&lt;="&amp;($B81+74))&gt;0,1,0)</x:f>
        <x:v>1</x:v>
      </x:c>
    </x:row>
    <x:row r="82">
      <x:c r="A82" s="50" t="str">
        <x:f>Members!A82</x:f>
        <x:v>SYN0079</x:v>
      </x:c>
      <x:c r="B82" s="51" t="n">
        <x:f>Members!B82</x:f>
        <x:v>46132</x:v>
      </x:c>
      <x:c r="C82" s="50" t="str">
        <x:f>Members!C82</x:f>
        <x:v>Direct</x:v>
      </x:c>
      <x:c r="D82" s="50" t="n">
        <x:f>IF($B82&lt;='Scorecard'!$B$3-7,1,0)</x:f>
        <x:v>1</x:v>
      </x:c>
      <x:c r="E82" s="50" t="n">
        <x:f>IF(COUNTIFS(Events!$B$4:$B$1456,$A82,Events!$C$4:$C$1456,"coach_contact_completed",Events!$D$4:$D$1456,"&gt;="&amp;($B82+0),Events!$D$4:$D$1456,"&lt;="&amp;($B82+7))&gt;0,1,0)</x:f>
        <x:v>1</x:v>
      </x:c>
      <x:c r="F82" s="50" t="n">
        <x:f>IF($B82&lt;='Scorecard'!$B$3-37,1,0)</x:f>
        <x:v>1</x:v>
      </x:c>
      <x:c r="G82" s="50" t="n">
        <x:f>IF(COUNTIFS(Events!$B$4:$B$1456,$A82,Events!$C$4:$C$1456,"day30_checkin_completed",Events!$D$4:$D$1456,"&gt;="&amp;($B82+28),Events!$D$4:$D$1456,"&lt;="&amp;($B82+37))&gt;0,1,0)</x:f>
        <x:v>1</x:v>
      </x:c>
      <x:c r="H82" s="50" t="n">
        <x:f>IF($B82&lt;='Scorecard'!$B$3-74,1,0)</x:f>
        <x:v>1</x:v>
      </x:c>
      <x:c r="I82" s="50" t="n">
        <x:f>IF(COUNTIFS(Events!$B$4:$B$1456,$A82,Events!$C$4:$C$1456,"day60_activity_observed",Events!$D$4:$D$1456,"&gt;="&amp;($B82+60),Events!$D$4:$D$1456,"&lt;="&amp;($B82+74))&gt;0,1,0)</x:f>
        <x:v>0</x:v>
      </x:c>
    </x:row>
    <x:row r="83">
      <x:c r="A83" s="50" t="str">
        <x:f>Members!A83</x:f>
        <x:v>SYN0080</x:v>
      </x:c>
      <x:c r="B83" s="51" t="n">
        <x:f>Members!B83</x:f>
        <x:v>46213</x:v>
      </x:c>
      <x:c r="C83" s="50" t="str">
        <x:f>Members!C83</x:f>
        <x:v>Direct</x:v>
      </x:c>
      <x:c r="D83" s="50" t="n">
        <x:f>IF($B83&lt;='Scorecard'!$B$3-7,1,0)</x:f>
        <x:v>1</x:v>
      </x:c>
      <x:c r="E83" s="50" t="n">
        <x:f>IF(COUNTIFS(Events!$B$4:$B$1456,$A83,Events!$C$4:$C$1456,"coach_contact_completed",Events!$D$4:$D$1456,"&gt;="&amp;($B83+0),Events!$D$4:$D$1456,"&lt;="&amp;($B83+7))&gt;0,1,0)</x:f>
        <x:v>0</x:v>
      </x:c>
      <x:c r="F83" s="50" t="n">
        <x:f>IF($B83&lt;='Scorecard'!$B$3-37,1,0)</x:f>
        <x:v>1</x:v>
      </x:c>
      <x:c r="G83" s="50" t="n">
        <x:f>IF(COUNTIFS(Events!$B$4:$B$1456,$A83,Events!$C$4:$C$1456,"day30_checkin_completed",Events!$D$4:$D$1456,"&gt;="&amp;($B83+28),Events!$D$4:$D$1456,"&lt;="&amp;($B83+37))&gt;0,1,0)</x:f>
        <x:v>1</x:v>
      </x:c>
      <x:c r="H83" s="50" t="n">
        <x:f>IF($B83&lt;='Scorecard'!$B$3-74,1,0)</x:f>
        <x:v>1</x:v>
      </x:c>
      <x:c r="I83" s="50" t="n">
        <x:f>IF(COUNTIFS(Events!$B$4:$B$1456,$A83,Events!$C$4:$C$1456,"day60_activity_observed",Events!$D$4:$D$1456,"&gt;="&amp;($B83+60),Events!$D$4:$D$1456,"&lt;="&amp;($B83+74))&gt;0,1,0)</x:f>
        <x:v>1</x:v>
      </x:c>
    </x:row>
    <x:row r="84">
      <x:c r="A84" s="50" t="str">
        <x:f>Members!A84</x:f>
        <x:v>SYN0081</x:v>
      </x:c>
      <x:c r="B84" s="51" t="n">
        <x:f>Members!B84</x:f>
        <x:v>46039</x:v>
      </x:c>
      <x:c r="C84" s="50" t="str">
        <x:f>Members!C84</x:f>
        <x:v>Direct</x:v>
      </x:c>
      <x:c r="D84" s="50" t="n">
        <x:f>IF($B84&lt;='Scorecard'!$B$3-7,1,0)</x:f>
        <x:v>1</x:v>
      </x:c>
      <x:c r="E84" s="50" t="n">
        <x:f>IF(COUNTIFS(Events!$B$4:$B$1456,$A84,Events!$C$4:$C$1456,"coach_contact_completed",Events!$D$4:$D$1456,"&gt;="&amp;($B84+0),Events!$D$4:$D$1456,"&lt;="&amp;($B84+7))&gt;0,1,0)</x:f>
        <x:v>1</x:v>
      </x:c>
      <x:c r="F84" s="50" t="n">
        <x:f>IF($B84&lt;='Scorecard'!$B$3-37,1,0)</x:f>
        <x:v>1</x:v>
      </x:c>
      <x:c r="G84" s="50" t="n">
        <x:f>IF(COUNTIFS(Events!$B$4:$B$1456,$A84,Events!$C$4:$C$1456,"day30_checkin_completed",Events!$D$4:$D$1456,"&gt;="&amp;($B84+28),Events!$D$4:$D$1456,"&lt;="&amp;($B84+37))&gt;0,1,0)</x:f>
        <x:v>1</x:v>
      </x:c>
      <x:c r="H84" s="50" t="n">
        <x:f>IF($B84&lt;='Scorecard'!$B$3-74,1,0)</x:f>
        <x:v>1</x:v>
      </x:c>
      <x:c r="I84" s="50" t="n">
        <x:f>IF(COUNTIFS(Events!$B$4:$B$1456,$A84,Events!$C$4:$C$1456,"day60_activity_observed",Events!$D$4:$D$1456,"&gt;="&amp;($B84+60),Events!$D$4:$D$1456,"&lt;="&amp;($B84+74))&gt;0,1,0)</x:f>
        <x:v>1</x:v>
      </x:c>
    </x:row>
    <x:row r="85">
      <x:c r="A85" s="50" t="str">
        <x:f>Members!A85</x:f>
        <x:v>SYN0082</x:v>
      </x:c>
      <x:c r="B85" s="51" t="n">
        <x:f>Members!B85</x:f>
        <x:v>46123</x:v>
      </x:c>
      <x:c r="C85" s="50" t="str">
        <x:f>Members!C85</x:f>
        <x:v>Employer</x:v>
      </x:c>
      <x:c r="D85" s="50" t="n">
        <x:f>IF($B85&lt;='Scorecard'!$B$3-7,1,0)</x:f>
        <x:v>1</x:v>
      </x:c>
      <x:c r="E85" s="50" t="n">
        <x:f>IF(COUNTIFS(Events!$B$4:$B$1456,$A85,Events!$C$4:$C$1456,"coach_contact_completed",Events!$D$4:$D$1456,"&gt;="&amp;($B85+0),Events!$D$4:$D$1456,"&lt;="&amp;($B85+7))&gt;0,1,0)</x:f>
        <x:v>0</x:v>
      </x:c>
      <x:c r="F85" s="50" t="n">
        <x:f>IF($B85&lt;='Scorecard'!$B$3-37,1,0)</x:f>
        <x:v>1</x:v>
      </x:c>
      <x:c r="G85" s="50" t="n">
        <x:f>IF(COUNTIFS(Events!$B$4:$B$1456,$A85,Events!$C$4:$C$1456,"day30_checkin_completed",Events!$D$4:$D$1456,"&gt;="&amp;($B85+28),Events!$D$4:$D$1456,"&lt;="&amp;($B85+37))&gt;0,1,0)</x:f>
        <x:v>1</x:v>
      </x:c>
      <x:c r="H85" s="50" t="n">
        <x:f>IF($B85&lt;='Scorecard'!$B$3-74,1,0)</x:f>
        <x:v>1</x:v>
      </x:c>
      <x:c r="I85" s="50" t="n">
        <x:f>IF(COUNTIFS(Events!$B$4:$B$1456,$A85,Events!$C$4:$C$1456,"day60_activity_observed",Events!$D$4:$D$1456,"&gt;="&amp;($B85+60),Events!$D$4:$D$1456,"&lt;="&amp;($B85+74))&gt;0,1,0)</x:f>
        <x:v>1</x:v>
      </x:c>
    </x:row>
    <x:row r="86">
      <x:c r="A86" s="50" t="str">
        <x:f>Members!A86</x:f>
        <x:v>SYN0083</x:v>
      </x:c>
      <x:c r="B86" s="51" t="n">
        <x:f>Members!B86</x:f>
        <x:v>46024</x:v>
      </x:c>
      <x:c r="C86" s="50" t="str">
        <x:f>Members!C86</x:f>
        <x:v>Direct</x:v>
      </x:c>
      <x:c r="D86" s="50" t="n">
        <x:f>IF($B86&lt;='Scorecard'!$B$3-7,1,0)</x:f>
        <x:v>1</x:v>
      </x:c>
      <x:c r="E86" s="50" t="n">
        <x:f>IF(COUNTIFS(Events!$B$4:$B$1456,$A86,Events!$C$4:$C$1456,"coach_contact_completed",Events!$D$4:$D$1456,"&gt;="&amp;($B86+0),Events!$D$4:$D$1456,"&lt;="&amp;($B86+7))&gt;0,1,0)</x:f>
        <x:v>1</x:v>
      </x:c>
      <x:c r="F86" s="50" t="n">
        <x:f>IF($B86&lt;='Scorecard'!$B$3-37,1,0)</x:f>
        <x:v>1</x:v>
      </x:c>
      <x:c r="G86" s="50" t="n">
        <x:f>IF(COUNTIFS(Events!$B$4:$B$1456,$A86,Events!$C$4:$C$1456,"day30_checkin_completed",Events!$D$4:$D$1456,"&gt;="&amp;($B86+28),Events!$D$4:$D$1456,"&lt;="&amp;($B86+37))&gt;0,1,0)</x:f>
        <x:v>0</x:v>
      </x:c>
      <x:c r="H86" s="50" t="n">
        <x:f>IF($B86&lt;='Scorecard'!$B$3-74,1,0)</x:f>
        <x:v>1</x:v>
      </x:c>
      <x:c r="I86" s="50" t="n">
        <x:f>IF(COUNTIFS(Events!$B$4:$B$1456,$A86,Events!$C$4:$C$1456,"day60_activity_observed",Events!$D$4:$D$1456,"&gt;="&amp;($B86+60),Events!$D$4:$D$1456,"&lt;="&amp;($B86+74))&gt;0,1,0)</x:f>
        <x:v>0</x:v>
      </x:c>
    </x:row>
    <x:row r="87">
      <x:c r="A87" s="50" t="str">
        <x:f>Members!A87</x:f>
        <x:v>SYN0084</x:v>
      </x:c>
      <x:c r="B87" s="51" t="n">
        <x:f>Members!B87</x:f>
        <x:v>46043</x:v>
      </x:c>
      <x:c r="C87" s="50" t="str">
        <x:f>Members!C87</x:f>
        <x:v>Direct</x:v>
      </x:c>
      <x:c r="D87" s="50" t="n">
        <x:f>IF($B87&lt;='Scorecard'!$B$3-7,1,0)</x:f>
        <x:v>1</x:v>
      </x:c>
      <x:c r="E87" s="50" t="n">
        <x:f>IF(COUNTIFS(Events!$B$4:$B$1456,$A87,Events!$C$4:$C$1456,"coach_contact_completed",Events!$D$4:$D$1456,"&gt;="&amp;($B87+0),Events!$D$4:$D$1456,"&lt;="&amp;($B87+7))&gt;0,1,0)</x:f>
        <x:v>0</x:v>
      </x:c>
      <x:c r="F87" s="50" t="n">
        <x:f>IF($B87&lt;='Scorecard'!$B$3-37,1,0)</x:f>
        <x:v>1</x:v>
      </x:c>
      <x:c r="G87" s="50" t="n">
        <x:f>IF(COUNTIFS(Events!$B$4:$B$1456,$A87,Events!$C$4:$C$1456,"day30_checkin_completed",Events!$D$4:$D$1456,"&gt;="&amp;($B87+28),Events!$D$4:$D$1456,"&lt;="&amp;($B87+37))&gt;0,1,0)</x:f>
        <x:v>1</x:v>
      </x:c>
      <x:c r="H87" s="50" t="n">
        <x:f>IF($B87&lt;='Scorecard'!$B$3-74,1,0)</x:f>
        <x:v>1</x:v>
      </x:c>
      <x:c r="I87" s="50" t="n">
        <x:f>IF(COUNTIFS(Events!$B$4:$B$1456,$A87,Events!$C$4:$C$1456,"day60_activity_observed",Events!$D$4:$D$1456,"&gt;="&amp;($B87+60),Events!$D$4:$D$1456,"&lt;="&amp;($B87+74))&gt;0,1,0)</x:f>
        <x:v>0</x:v>
      </x:c>
    </x:row>
    <x:row r="88">
      <x:c r="A88" s="50" t="str">
        <x:f>Members!A88</x:f>
        <x:v>SYN0085</x:v>
      </x:c>
      <x:c r="B88" s="51" t="n">
        <x:f>Members!B88</x:f>
        <x:v>46036</x:v>
      </x:c>
      <x:c r="C88" s="50" t="str">
        <x:f>Members!C88</x:f>
        <x:v>Employer</x:v>
      </x:c>
      <x:c r="D88" s="50" t="n">
        <x:f>IF($B88&lt;='Scorecard'!$B$3-7,1,0)</x:f>
        <x:v>1</x:v>
      </x:c>
      <x:c r="E88" s="50" t="n">
        <x:f>IF(COUNTIFS(Events!$B$4:$B$1456,$A88,Events!$C$4:$C$1456,"coach_contact_completed",Events!$D$4:$D$1456,"&gt;="&amp;($B88+0),Events!$D$4:$D$1456,"&lt;="&amp;($B88+7))&gt;0,1,0)</x:f>
        <x:v>0</x:v>
      </x:c>
      <x:c r="F88" s="50" t="n">
        <x:f>IF($B88&lt;='Scorecard'!$B$3-37,1,0)</x:f>
        <x:v>1</x:v>
      </x:c>
      <x:c r="G88" s="50" t="n">
        <x:f>IF(COUNTIFS(Events!$B$4:$B$1456,$A88,Events!$C$4:$C$1456,"day30_checkin_completed",Events!$D$4:$D$1456,"&gt;="&amp;($B88+28),Events!$D$4:$D$1456,"&lt;="&amp;($B88+37))&gt;0,1,0)</x:f>
        <x:v>1</x:v>
      </x:c>
      <x:c r="H88" s="50" t="n">
        <x:f>IF($B88&lt;='Scorecard'!$B$3-74,1,0)</x:f>
        <x:v>1</x:v>
      </x:c>
      <x:c r="I88" s="50" t="n">
        <x:f>IF(COUNTIFS(Events!$B$4:$B$1456,$A88,Events!$C$4:$C$1456,"day60_activity_observed",Events!$D$4:$D$1456,"&gt;="&amp;($B88+60),Events!$D$4:$D$1456,"&lt;="&amp;($B88+74))&gt;0,1,0)</x:f>
        <x:v>1</x:v>
      </x:c>
    </x:row>
    <x:row r="89">
      <x:c r="A89" s="50" t="str">
        <x:f>Members!A89</x:f>
        <x:v>SYN0086</x:v>
      </x:c>
      <x:c r="B89" s="51" t="n">
        <x:f>Members!B89</x:f>
        <x:v>46048</x:v>
      </x:c>
      <x:c r="C89" s="50" t="str">
        <x:f>Members!C89</x:f>
        <x:v>Direct</x:v>
      </x:c>
      <x:c r="D89" s="50" t="n">
        <x:f>IF($B89&lt;='Scorecard'!$B$3-7,1,0)</x:f>
        <x:v>1</x:v>
      </x:c>
      <x:c r="E89" s="50" t="n">
        <x:f>IF(COUNTIFS(Events!$B$4:$B$1456,$A89,Events!$C$4:$C$1456,"coach_contact_completed",Events!$D$4:$D$1456,"&gt;="&amp;($B89+0),Events!$D$4:$D$1456,"&lt;="&amp;($B89+7))&gt;0,1,0)</x:f>
        <x:v>0</x:v>
      </x:c>
      <x:c r="F89" s="50" t="n">
        <x:f>IF($B89&lt;='Scorecard'!$B$3-37,1,0)</x:f>
        <x:v>1</x:v>
      </x:c>
      <x:c r="G89" s="50" t="n">
        <x:f>IF(COUNTIFS(Events!$B$4:$B$1456,$A89,Events!$C$4:$C$1456,"day30_checkin_completed",Events!$D$4:$D$1456,"&gt;="&amp;($B89+28),Events!$D$4:$D$1456,"&lt;="&amp;($B89+37))&gt;0,1,0)</x:f>
        <x:v>1</x:v>
      </x:c>
      <x:c r="H89" s="50" t="n">
        <x:f>IF($B89&lt;='Scorecard'!$B$3-74,1,0)</x:f>
        <x:v>1</x:v>
      </x:c>
      <x:c r="I89" s="50" t="n">
        <x:f>IF(COUNTIFS(Events!$B$4:$B$1456,$A89,Events!$C$4:$C$1456,"day60_activity_observed",Events!$D$4:$D$1456,"&gt;="&amp;($B89+60),Events!$D$4:$D$1456,"&lt;="&amp;($B89+74))&gt;0,1,0)</x:f>
        <x:v>1</x:v>
      </x:c>
    </x:row>
    <x:row r="90">
      <x:c r="A90" s="50" t="str">
        <x:f>Members!A90</x:f>
        <x:v>SYN0087</x:v>
      </x:c>
      <x:c r="B90" s="51" t="n">
        <x:f>Members!B90</x:f>
        <x:v>46118</x:v>
      </x:c>
      <x:c r="C90" s="50" t="str">
        <x:f>Members!C90</x:f>
        <x:v>Employer</x:v>
      </x:c>
      <x:c r="D90" s="50" t="n">
        <x:f>IF($B90&lt;='Scorecard'!$B$3-7,1,0)</x:f>
        <x:v>1</x:v>
      </x:c>
      <x:c r="E90" s="50" t="n">
        <x:f>IF(COUNTIFS(Events!$B$4:$B$1456,$A90,Events!$C$4:$C$1456,"coach_contact_completed",Events!$D$4:$D$1456,"&gt;="&amp;($B90+0),Events!$D$4:$D$1456,"&lt;="&amp;($B90+7))&gt;0,1,0)</x:f>
        <x:v>1</x:v>
      </x:c>
      <x:c r="F90" s="50" t="n">
        <x:f>IF($B90&lt;='Scorecard'!$B$3-37,1,0)</x:f>
        <x:v>1</x:v>
      </x:c>
      <x:c r="G90" s="50" t="n">
        <x:f>IF(COUNTIFS(Events!$B$4:$B$1456,$A90,Events!$C$4:$C$1456,"day30_checkin_completed",Events!$D$4:$D$1456,"&gt;="&amp;($B90+28),Events!$D$4:$D$1456,"&lt;="&amp;($B90+37))&gt;0,1,0)</x:f>
        <x:v>1</x:v>
      </x:c>
      <x:c r="H90" s="50" t="n">
        <x:f>IF($B90&lt;='Scorecard'!$B$3-74,1,0)</x:f>
        <x:v>1</x:v>
      </x:c>
      <x:c r="I90" s="50" t="n">
        <x:f>IF(COUNTIFS(Events!$B$4:$B$1456,$A90,Events!$C$4:$C$1456,"day60_activity_observed",Events!$D$4:$D$1456,"&gt;="&amp;($B90+60),Events!$D$4:$D$1456,"&lt;="&amp;($B90+74))&gt;0,1,0)</x:f>
        <x:v>0</x:v>
      </x:c>
    </x:row>
    <x:row r="91">
      <x:c r="A91" s="50" t="str">
        <x:f>Members!A91</x:f>
        <x:v>SYN0088</x:v>
      </x:c>
      <x:c r="B91" s="51" t="n">
        <x:f>Members!B91</x:f>
        <x:v>46258</x:v>
      </x:c>
      <x:c r="C91" s="50" t="str">
        <x:f>Members!C91</x:f>
        <x:v>Direct</x:v>
      </x:c>
      <x:c r="D91" s="50" t="n">
        <x:f>IF($B91&lt;='Scorecard'!$B$3-7,1,0)</x:f>
        <x:v>1</x:v>
      </x:c>
      <x:c r="E91" s="50" t="n">
        <x:f>IF(COUNTIFS(Events!$B$4:$B$1456,$A91,Events!$C$4:$C$1456,"coach_contact_completed",Events!$D$4:$D$1456,"&gt;="&amp;($B91+0),Events!$D$4:$D$1456,"&lt;="&amp;($B91+7))&gt;0,1,0)</x:f>
        <x:v>1</x:v>
      </x:c>
      <x:c r="F91" s="50" t="n">
        <x:f>IF($B91&lt;='Scorecard'!$B$3-37,1,0)</x:f>
        <x:v>1</x:v>
      </x:c>
      <x:c r="G91" s="50" t="n">
        <x:f>IF(COUNTIFS(Events!$B$4:$B$1456,$A91,Events!$C$4:$C$1456,"day30_checkin_completed",Events!$D$4:$D$1456,"&gt;="&amp;($B91+28),Events!$D$4:$D$1456,"&lt;="&amp;($B91+37))&gt;0,1,0)</x:f>
        <x:v>0</x:v>
      </x:c>
      <x:c r="H91" s="50" t="n">
        <x:f>IF($B91&lt;='Scorecard'!$B$3-74,1,0)</x:f>
        <x:v>0</x:v>
      </x:c>
      <x:c r="I91" s="50" t="n">
        <x:f>IF(COUNTIFS(Events!$B$4:$B$1456,$A91,Events!$C$4:$C$1456,"day60_activity_observed",Events!$D$4:$D$1456,"&gt;="&amp;($B91+60),Events!$D$4:$D$1456,"&lt;="&amp;($B91+74))&gt;0,1,0)</x:f>
        <x:v>0</x:v>
      </x:c>
    </x:row>
    <x:row r="92">
      <x:c r="A92" s="50" t="str">
        <x:f>Members!A92</x:f>
        <x:v>SYN0089</x:v>
      </x:c>
      <x:c r="B92" s="51" t="n">
        <x:f>Members!B92</x:f>
        <x:v>46071</x:v>
      </x:c>
      <x:c r="C92" s="50" t="str">
        <x:f>Members!C92</x:f>
        <x:v>Direct</x:v>
      </x:c>
      <x:c r="D92" s="50" t="n">
        <x:f>IF($B92&lt;='Scorecard'!$B$3-7,1,0)</x:f>
        <x:v>1</x:v>
      </x:c>
      <x:c r="E92" s="50" t="n">
        <x:f>IF(COUNTIFS(Events!$B$4:$B$1456,$A92,Events!$C$4:$C$1456,"coach_contact_completed",Events!$D$4:$D$1456,"&gt;="&amp;($B92+0),Events!$D$4:$D$1456,"&lt;="&amp;($B92+7))&gt;0,1,0)</x:f>
        <x:v>1</x:v>
      </x:c>
      <x:c r="F92" s="50" t="n">
        <x:f>IF($B92&lt;='Scorecard'!$B$3-37,1,0)</x:f>
        <x:v>1</x:v>
      </x:c>
      <x:c r="G92" s="50" t="n">
        <x:f>IF(COUNTIFS(Events!$B$4:$B$1456,$A92,Events!$C$4:$C$1456,"day30_checkin_completed",Events!$D$4:$D$1456,"&gt;="&amp;($B92+28),Events!$D$4:$D$1456,"&lt;="&amp;($B92+37))&gt;0,1,0)</x:f>
        <x:v>1</x:v>
      </x:c>
      <x:c r="H92" s="50" t="n">
        <x:f>IF($B92&lt;='Scorecard'!$B$3-74,1,0)</x:f>
        <x:v>1</x:v>
      </x:c>
      <x:c r="I92" s="50" t="n">
        <x:f>IF(COUNTIFS(Events!$B$4:$B$1456,$A92,Events!$C$4:$C$1456,"day60_activity_observed",Events!$D$4:$D$1456,"&gt;="&amp;($B92+60),Events!$D$4:$D$1456,"&lt;="&amp;($B92+74))&gt;0,1,0)</x:f>
        <x:v>1</x:v>
      </x:c>
    </x:row>
    <x:row r="93">
      <x:c r="A93" s="50" t="str">
        <x:f>Members!A93</x:f>
        <x:v>SYN0090</x:v>
      </x:c>
      <x:c r="B93" s="51" t="n">
        <x:f>Members!B93</x:f>
        <x:v>46101</x:v>
      </x:c>
      <x:c r="C93" s="50" t="str">
        <x:f>Members!C93</x:f>
        <x:v>Direct</x:v>
      </x:c>
      <x:c r="D93" s="50" t="n">
        <x:f>IF($B93&lt;='Scorecard'!$B$3-7,1,0)</x:f>
        <x:v>1</x:v>
      </x:c>
      <x:c r="E93" s="50" t="n">
        <x:f>IF(COUNTIFS(Events!$B$4:$B$1456,$A93,Events!$C$4:$C$1456,"coach_contact_completed",Events!$D$4:$D$1456,"&gt;="&amp;($B93+0),Events!$D$4:$D$1456,"&lt;="&amp;($B93+7))&gt;0,1,0)</x:f>
        <x:v>1</x:v>
      </x:c>
      <x:c r="F93" s="50" t="n">
        <x:f>IF($B93&lt;='Scorecard'!$B$3-37,1,0)</x:f>
        <x:v>1</x:v>
      </x:c>
      <x:c r="G93" s="50" t="n">
        <x:f>IF(COUNTIFS(Events!$B$4:$B$1456,$A93,Events!$C$4:$C$1456,"day30_checkin_completed",Events!$D$4:$D$1456,"&gt;="&amp;($B93+28),Events!$D$4:$D$1456,"&lt;="&amp;($B93+37))&gt;0,1,0)</x:f>
        <x:v>1</x:v>
      </x:c>
      <x:c r="H93" s="50" t="n">
        <x:f>IF($B93&lt;='Scorecard'!$B$3-74,1,0)</x:f>
        <x:v>1</x:v>
      </x:c>
      <x:c r="I93" s="50" t="n">
        <x:f>IF(COUNTIFS(Events!$B$4:$B$1456,$A93,Events!$C$4:$C$1456,"day60_activity_observed",Events!$D$4:$D$1456,"&gt;="&amp;($B93+60),Events!$D$4:$D$1456,"&lt;="&amp;($B93+74))&gt;0,1,0)</x:f>
        <x:v>0</x:v>
      </x:c>
    </x:row>
    <x:row r="94">
      <x:c r="A94" s="50" t="str">
        <x:f>Members!A94</x:f>
        <x:v>SYN0091</x:v>
      </x:c>
      <x:c r="B94" s="51" t="n">
        <x:f>Members!B94</x:f>
        <x:v>46230</x:v>
      </x:c>
      <x:c r="C94" s="50" t="str">
        <x:f>Members!C94</x:f>
        <x:v>Direct</x:v>
      </x:c>
      <x:c r="D94" s="50" t="n">
        <x:f>IF($B94&lt;='Scorecard'!$B$3-7,1,0)</x:f>
        <x:v>1</x:v>
      </x:c>
      <x:c r="E94" s="50" t="n">
        <x:f>IF(COUNTIFS(Events!$B$4:$B$1456,$A94,Events!$C$4:$C$1456,"coach_contact_completed",Events!$D$4:$D$1456,"&gt;="&amp;($B94+0),Events!$D$4:$D$1456,"&lt;="&amp;($B94+7))&gt;0,1,0)</x:f>
        <x:v>1</x:v>
      </x:c>
      <x:c r="F94" s="50" t="n">
        <x:f>IF($B94&lt;='Scorecard'!$B$3-37,1,0)</x:f>
        <x:v>1</x:v>
      </x:c>
      <x:c r="G94" s="50" t="n">
        <x:f>IF(COUNTIFS(Events!$B$4:$B$1456,$A94,Events!$C$4:$C$1456,"day30_checkin_completed",Events!$D$4:$D$1456,"&gt;="&amp;($B94+28),Events!$D$4:$D$1456,"&lt;="&amp;($B94+37))&gt;0,1,0)</x:f>
        <x:v>1</x:v>
      </x:c>
      <x:c r="H94" s="50" t="n">
        <x:f>IF($B94&lt;='Scorecard'!$B$3-74,1,0)</x:f>
        <x:v>0</x:v>
      </x:c>
      <x:c r="I94" s="50" t="n">
        <x:f>IF(COUNTIFS(Events!$B$4:$B$1456,$A94,Events!$C$4:$C$1456,"day60_activity_observed",Events!$D$4:$D$1456,"&gt;="&amp;($B94+60),Events!$D$4:$D$1456,"&lt;="&amp;($B94+74))&gt;0,1,0)</x:f>
        <x:v>0</x:v>
      </x:c>
    </x:row>
    <x:row r="95">
      <x:c r="A95" s="50" t="str">
        <x:f>Members!A95</x:f>
        <x:v>SYN0092</x:v>
      </x:c>
      <x:c r="B95" s="51" t="n">
        <x:f>Members!B95</x:f>
        <x:v>46162</x:v>
      </x:c>
      <x:c r="C95" s="50" t="str">
        <x:f>Members!C95</x:f>
        <x:v>Direct</x:v>
      </x:c>
      <x:c r="D95" s="50" t="n">
        <x:f>IF($B95&lt;='Scorecard'!$B$3-7,1,0)</x:f>
        <x:v>1</x:v>
      </x:c>
      <x:c r="E95" s="50" t="n">
        <x:f>IF(COUNTIFS(Events!$B$4:$B$1456,$A95,Events!$C$4:$C$1456,"coach_contact_completed",Events!$D$4:$D$1456,"&gt;="&amp;($B95+0),Events!$D$4:$D$1456,"&lt;="&amp;($B95+7))&gt;0,1,0)</x:f>
        <x:v>0</x:v>
      </x:c>
      <x:c r="F95" s="50" t="n">
        <x:f>IF($B95&lt;='Scorecard'!$B$3-37,1,0)</x:f>
        <x:v>1</x:v>
      </x:c>
      <x:c r="G95" s="50" t="n">
        <x:f>IF(COUNTIFS(Events!$B$4:$B$1456,$A95,Events!$C$4:$C$1456,"day30_checkin_completed",Events!$D$4:$D$1456,"&gt;="&amp;($B95+28),Events!$D$4:$D$1456,"&lt;="&amp;($B95+37))&gt;0,1,0)</x:f>
        <x:v>0</x:v>
      </x:c>
      <x:c r="H95" s="50" t="n">
        <x:f>IF($B95&lt;='Scorecard'!$B$3-74,1,0)</x:f>
        <x:v>1</x:v>
      </x:c>
      <x:c r="I95" s="50" t="n">
        <x:f>IF(COUNTIFS(Events!$B$4:$B$1456,$A95,Events!$C$4:$C$1456,"day60_activity_observed",Events!$D$4:$D$1456,"&gt;="&amp;($B95+60),Events!$D$4:$D$1456,"&lt;="&amp;($B95+74))&gt;0,1,0)</x:f>
        <x:v>0</x:v>
      </x:c>
    </x:row>
    <x:row r="96">
      <x:c r="A96" s="50" t="str">
        <x:f>Members!A96</x:f>
        <x:v>SYN0093</x:v>
      </x:c>
      <x:c r="B96" s="51" t="n">
        <x:f>Members!B96</x:f>
        <x:v>46033</x:v>
      </x:c>
      <x:c r="C96" s="50" t="str">
        <x:f>Members!C96</x:f>
        <x:v>Employer</x:v>
      </x:c>
      <x:c r="D96" s="50" t="n">
        <x:f>IF($B96&lt;='Scorecard'!$B$3-7,1,0)</x:f>
        <x:v>1</x:v>
      </x:c>
      <x:c r="E96" s="50" t="n">
        <x:f>IF(COUNTIFS(Events!$B$4:$B$1456,$A96,Events!$C$4:$C$1456,"coach_contact_completed",Events!$D$4:$D$1456,"&gt;="&amp;($B96+0),Events!$D$4:$D$1456,"&lt;="&amp;($B96+7))&gt;0,1,0)</x:f>
        <x:v>0</x:v>
      </x:c>
      <x:c r="F96" s="50" t="n">
        <x:f>IF($B96&lt;='Scorecard'!$B$3-37,1,0)</x:f>
        <x:v>1</x:v>
      </x:c>
      <x:c r="G96" s="50" t="n">
        <x:f>IF(COUNTIFS(Events!$B$4:$B$1456,$A96,Events!$C$4:$C$1456,"day30_checkin_completed",Events!$D$4:$D$1456,"&gt;="&amp;($B96+28),Events!$D$4:$D$1456,"&lt;="&amp;($B96+37))&gt;0,1,0)</x:f>
        <x:v>0</x:v>
      </x:c>
      <x:c r="H96" s="50" t="n">
        <x:f>IF($B96&lt;='Scorecard'!$B$3-74,1,0)</x:f>
        <x:v>1</x:v>
      </x:c>
      <x:c r="I96" s="50" t="n">
        <x:f>IF(COUNTIFS(Events!$B$4:$B$1456,$A96,Events!$C$4:$C$1456,"day60_activity_observed",Events!$D$4:$D$1456,"&gt;="&amp;($B96+60),Events!$D$4:$D$1456,"&lt;="&amp;($B96+74))&gt;0,1,0)</x:f>
        <x:v>1</x:v>
      </x:c>
    </x:row>
    <x:row r="97">
      <x:c r="A97" s="50" t="str">
        <x:f>Members!A97</x:f>
        <x:v>SYN0094</x:v>
      </x:c>
      <x:c r="B97" s="51" t="n">
        <x:f>Members!B97</x:f>
        <x:v>46107</x:v>
      </x:c>
      <x:c r="C97" s="50" t="str">
        <x:f>Members!C97</x:f>
        <x:v>Direct</x:v>
      </x:c>
      <x:c r="D97" s="50" t="n">
        <x:f>IF($B97&lt;='Scorecard'!$B$3-7,1,0)</x:f>
        <x:v>1</x:v>
      </x:c>
      <x:c r="E97" s="50" t="n">
        <x:f>IF(COUNTIFS(Events!$B$4:$B$1456,$A97,Events!$C$4:$C$1456,"coach_contact_completed",Events!$D$4:$D$1456,"&gt;="&amp;($B97+0),Events!$D$4:$D$1456,"&lt;="&amp;($B97+7))&gt;0,1,0)</x:f>
        <x:v>0</x:v>
      </x:c>
      <x:c r="F97" s="50" t="n">
        <x:f>IF($B97&lt;='Scorecard'!$B$3-37,1,0)</x:f>
        <x:v>1</x:v>
      </x:c>
      <x:c r="G97" s="50" t="n">
        <x:f>IF(COUNTIFS(Events!$B$4:$B$1456,$A97,Events!$C$4:$C$1456,"day30_checkin_completed",Events!$D$4:$D$1456,"&gt;="&amp;($B97+28),Events!$D$4:$D$1456,"&lt;="&amp;($B97+37))&gt;0,1,0)</x:f>
        <x:v>0</x:v>
      </x:c>
      <x:c r="H97" s="50" t="n">
        <x:f>IF($B97&lt;='Scorecard'!$B$3-74,1,0)</x:f>
        <x:v>1</x:v>
      </x:c>
      <x:c r="I97" s="50" t="n">
        <x:f>IF(COUNTIFS(Events!$B$4:$B$1456,$A97,Events!$C$4:$C$1456,"day60_activity_observed",Events!$D$4:$D$1456,"&gt;="&amp;($B97+60),Events!$D$4:$D$1456,"&lt;="&amp;($B97+74))&gt;0,1,0)</x:f>
        <x:v>1</x:v>
      </x:c>
    </x:row>
    <x:row r="98">
      <x:c r="A98" s="50" t="str">
        <x:f>Members!A98</x:f>
        <x:v>SYN0095</x:v>
      </x:c>
      <x:c r="B98" s="51" t="n">
        <x:f>Members!B98</x:f>
        <x:v>46215</x:v>
      </x:c>
      <x:c r="C98" s="50" t="str">
        <x:f>Members!C98</x:f>
        <x:v>Employer</x:v>
      </x:c>
      <x:c r="D98" s="50" t="n">
        <x:f>IF($B98&lt;='Scorecard'!$B$3-7,1,0)</x:f>
        <x:v>1</x:v>
      </x:c>
      <x:c r="E98" s="50" t="n">
        <x:f>IF(COUNTIFS(Events!$B$4:$B$1456,$A98,Events!$C$4:$C$1456,"coach_contact_completed",Events!$D$4:$D$1456,"&gt;="&amp;($B98+0),Events!$D$4:$D$1456,"&lt;="&amp;($B98+7))&gt;0,1,0)</x:f>
        <x:v>1</x:v>
      </x:c>
      <x:c r="F98" s="50" t="n">
        <x:f>IF($B98&lt;='Scorecard'!$B$3-37,1,0)</x:f>
        <x:v>1</x:v>
      </x:c>
      <x:c r="G98" s="50" t="n">
        <x:f>IF(COUNTIFS(Events!$B$4:$B$1456,$A98,Events!$C$4:$C$1456,"day30_checkin_completed",Events!$D$4:$D$1456,"&gt;="&amp;($B98+28),Events!$D$4:$D$1456,"&lt;="&amp;($B98+37))&gt;0,1,0)</x:f>
        <x:v>1</x:v>
      </x:c>
      <x:c r="H98" s="50" t="n">
        <x:f>IF($B98&lt;='Scorecard'!$B$3-74,1,0)</x:f>
        <x:v>1</x:v>
      </x:c>
      <x:c r="I98" s="50" t="n">
        <x:f>IF(COUNTIFS(Events!$B$4:$B$1456,$A98,Events!$C$4:$C$1456,"day60_activity_observed",Events!$D$4:$D$1456,"&gt;="&amp;($B98+60),Events!$D$4:$D$1456,"&lt;="&amp;($B98+74))&gt;0,1,0)</x:f>
        <x:v>1</x:v>
      </x:c>
    </x:row>
    <x:row r="99">
      <x:c r="A99" s="50" t="str">
        <x:f>Members!A99</x:f>
        <x:v>SYN0096</x:v>
      </x:c>
      <x:c r="B99" s="51" t="n">
        <x:f>Members!B99</x:f>
        <x:v>46128</x:v>
      </x:c>
      <x:c r="C99" s="50" t="str">
        <x:f>Members!C99</x:f>
        <x:v>Direct</x:v>
      </x:c>
      <x:c r="D99" s="50" t="n">
        <x:f>IF($B99&lt;='Scorecard'!$B$3-7,1,0)</x:f>
        <x:v>1</x:v>
      </x:c>
      <x:c r="E99" s="50" t="n">
        <x:f>IF(COUNTIFS(Events!$B$4:$B$1456,$A99,Events!$C$4:$C$1456,"coach_contact_completed",Events!$D$4:$D$1456,"&gt;="&amp;($B99+0),Events!$D$4:$D$1456,"&lt;="&amp;($B99+7))&gt;0,1,0)</x:f>
        <x:v>1</x:v>
      </x:c>
      <x:c r="F99" s="50" t="n">
        <x:f>IF($B99&lt;='Scorecard'!$B$3-37,1,0)</x:f>
        <x:v>1</x:v>
      </x:c>
      <x:c r="G99" s="50" t="n">
        <x:f>IF(COUNTIFS(Events!$B$4:$B$1456,$A99,Events!$C$4:$C$1456,"day30_checkin_completed",Events!$D$4:$D$1456,"&gt;="&amp;($B99+28),Events!$D$4:$D$1456,"&lt;="&amp;($B99+37))&gt;0,1,0)</x:f>
        <x:v>1</x:v>
      </x:c>
      <x:c r="H99" s="50" t="n">
        <x:f>IF($B99&lt;='Scorecard'!$B$3-74,1,0)</x:f>
        <x:v>1</x:v>
      </x:c>
      <x:c r="I99" s="50" t="n">
        <x:f>IF(COUNTIFS(Events!$B$4:$B$1456,$A99,Events!$C$4:$C$1456,"day60_activity_observed",Events!$D$4:$D$1456,"&gt;="&amp;($B99+60),Events!$D$4:$D$1456,"&lt;="&amp;($B99+74))&gt;0,1,0)</x:f>
        <x:v>1</x:v>
      </x:c>
    </x:row>
    <x:row r="100">
      <x:c r="A100" s="50" t="str">
        <x:f>Members!A100</x:f>
        <x:v>SYN0097</x:v>
      </x:c>
      <x:c r="B100" s="51" t="n">
        <x:f>Members!B100</x:f>
        <x:v>46140</x:v>
      </x:c>
      <x:c r="C100" s="50" t="str">
        <x:f>Members!C100</x:f>
        <x:v>Direct</x:v>
      </x:c>
      <x:c r="D100" s="50" t="n">
        <x:f>IF($B100&lt;='Scorecard'!$B$3-7,1,0)</x:f>
        <x:v>1</x:v>
      </x:c>
      <x:c r="E100" s="50" t="n">
        <x:f>IF(COUNTIFS(Events!$B$4:$B$1456,$A100,Events!$C$4:$C$1456,"coach_contact_completed",Events!$D$4:$D$1456,"&gt;="&amp;($B100+0),Events!$D$4:$D$1456,"&lt;="&amp;($B100+7))&gt;0,1,0)</x:f>
        <x:v>1</x:v>
      </x:c>
      <x:c r="F100" s="50" t="n">
        <x:f>IF($B100&lt;='Scorecard'!$B$3-37,1,0)</x:f>
        <x:v>1</x:v>
      </x:c>
      <x:c r="G100" s="50" t="n">
        <x:f>IF(COUNTIFS(Events!$B$4:$B$1456,$A100,Events!$C$4:$C$1456,"day30_checkin_completed",Events!$D$4:$D$1456,"&gt;="&amp;($B100+28),Events!$D$4:$D$1456,"&lt;="&amp;($B100+37))&gt;0,1,0)</x:f>
        <x:v>1</x:v>
      </x:c>
      <x:c r="H100" s="50" t="n">
        <x:f>IF($B100&lt;='Scorecard'!$B$3-74,1,0)</x:f>
        <x:v>1</x:v>
      </x:c>
      <x:c r="I100" s="50" t="n">
        <x:f>IF(COUNTIFS(Events!$B$4:$B$1456,$A100,Events!$C$4:$C$1456,"day60_activity_observed",Events!$D$4:$D$1456,"&gt;="&amp;($B100+60),Events!$D$4:$D$1456,"&lt;="&amp;($B100+74))&gt;0,1,0)</x:f>
        <x:v>1</x:v>
      </x:c>
    </x:row>
    <x:row r="101">
      <x:c r="A101" s="50" t="str">
        <x:f>Members!A101</x:f>
        <x:v>SYN0098</x:v>
      </x:c>
      <x:c r="B101" s="51" t="n">
        <x:f>Members!B101</x:f>
        <x:v>46189</x:v>
      </x:c>
      <x:c r="C101" s="50" t="str">
        <x:f>Members!C101</x:f>
        <x:v>Direct</x:v>
      </x:c>
      <x:c r="D101" s="50" t="n">
        <x:f>IF($B101&lt;='Scorecard'!$B$3-7,1,0)</x:f>
        <x:v>1</x:v>
      </x:c>
      <x:c r="E101" s="50" t="n">
        <x:f>IF(COUNTIFS(Events!$B$4:$B$1456,$A101,Events!$C$4:$C$1456,"coach_contact_completed",Events!$D$4:$D$1456,"&gt;="&amp;($B101+0),Events!$D$4:$D$1456,"&lt;="&amp;($B101+7))&gt;0,1,0)</x:f>
        <x:v>1</x:v>
      </x:c>
      <x:c r="F101" s="50" t="n">
        <x:f>IF($B101&lt;='Scorecard'!$B$3-37,1,0)</x:f>
        <x:v>1</x:v>
      </x:c>
      <x:c r="G101" s="50" t="n">
        <x:f>IF(COUNTIFS(Events!$B$4:$B$1456,$A101,Events!$C$4:$C$1456,"day30_checkin_completed",Events!$D$4:$D$1456,"&gt;="&amp;($B101+28),Events!$D$4:$D$1456,"&lt;="&amp;($B101+37))&gt;0,1,0)</x:f>
        <x:v>1</x:v>
      </x:c>
      <x:c r="H101" s="50" t="n">
        <x:f>IF($B101&lt;='Scorecard'!$B$3-74,1,0)</x:f>
        <x:v>1</x:v>
      </x:c>
      <x:c r="I101" s="50" t="n">
        <x:f>IF(COUNTIFS(Events!$B$4:$B$1456,$A101,Events!$C$4:$C$1456,"day60_activity_observed",Events!$D$4:$D$1456,"&gt;="&amp;($B101+60),Events!$D$4:$D$1456,"&lt;="&amp;($B101+74))&gt;0,1,0)</x:f>
        <x:v>1</x:v>
      </x:c>
    </x:row>
    <x:row r="102">
      <x:c r="A102" s="50" t="str">
        <x:f>Members!A102</x:f>
        <x:v>SYN0099</x:v>
      </x:c>
      <x:c r="B102" s="51" t="n">
        <x:f>Members!B102</x:f>
        <x:v>46052</x:v>
      </x:c>
      <x:c r="C102" s="50" t="str">
        <x:f>Members!C102</x:f>
        <x:v>Employer</x:v>
      </x:c>
      <x:c r="D102" s="50" t="n">
        <x:f>IF($B102&lt;='Scorecard'!$B$3-7,1,0)</x:f>
        <x:v>1</x:v>
      </x:c>
      <x:c r="E102" s="50" t="n">
        <x:f>IF(COUNTIFS(Events!$B$4:$B$1456,$A102,Events!$C$4:$C$1456,"coach_contact_completed",Events!$D$4:$D$1456,"&gt;="&amp;($B102+0),Events!$D$4:$D$1456,"&lt;="&amp;($B102+7))&gt;0,1,0)</x:f>
        <x:v>1</x:v>
      </x:c>
      <x:c r="F102" s="50" t="n">
        <x:f>IF($B102&lt;='Scorecard'!$B$3-37,1,0)</x:f>
        <x:v>1</x:v>
      </x:c>
      <x:c r="G102" s="50" t="n">
        <x:f>IF(COUNTIFS(Events!$B$4:$B$1456,$A102,Events!$C$4:$C$1456,"day30_checkin_completed",Events!$D$4:$D$1456,"&gt;="&amp;($B102+28),Events!$D$4:$D$1456,"&lt;="&amp;($B102+37))&gt;0,1,0)</x:f>
        <x:v>1</x:v>
      </x:c>
      <x:c r="H102" s="50" t="n">
        <x:f>IF($B102&lt;='Scorecard'!$B$3-74,1,0)</x:f>
        <x:v>1</x:v>
      </x:c>
      <x:c r="I102" s="50" t="n">
        <x:f>IF(COUNTIFS(Events!$B$4:$B$1456,$A102,Events!$C$4:$C$1456,"day60_activity_observed",Events!$D$4:$D$1456,"&gt;="&amp;($B102+60),Events!$D$4:$D$1456,"&lt;="&amp;($B102+74))&gt;0,1,0)</x:f>
        <x:v>1</x:v>
      </x:c>
    </x:row>
    <x:row r="103">
      <x:c r="A103" s="50" t="str">
        <x:f>Members!A103</x:f>
        <x:v>SYN0100</x:v>
      </x:c>
      <x:c r="B103" s="51" t="n">
        <x:f>Members!B103</x:f>
        <x:v>46222</x:v>
      </x:c>
      <x:c r="C103" s="50" t="str">
        <x:f>Members!C103</x:f>
        <x:v>Direct</x:v>
      </x:c>
      <x:c r="D103" s="50" t="n">
        <x:f>IF($B103&lt;='Scorecard'!$B$3-7,1,0)</x:f>
        <x:v>1</x:v>
      </x:c>
      <x:c r="E103" s="50" t="n">
        <x:f>IF(COUNTIFS(Events!$B$4:$B$1456,$A103,Events!$C$4:$C$1456,"coach_contact_completed",Events!$D$4:$D$1456,"&gt;="&amp;($B103+0),Events!$D$4:$D$1456,"&lt;="&amp;($B103+7))&gt;0,1,0)</x:f>
        <x:v>0</x:v>
      </x:c>
      <x:c r="F103" s="50" t="n">
        <x:f>IF($B103&lt;='Scorecard'!$B$3-37,1,0)</x:f>
        <x:v>1</x:v>
      </x:c>
      <x:c r="G103" s="50" t="n">
        <x:f>IF(COUNTIFS(Events!$B$4:$B$1456,$A103,Events!$C$4:$C$1456,"day30_checkin_completed",Events!$D$4:$D$1456,"&gt;="&amp;($B103+28),Events!$D$4:$D$1456,"&lt;="&amp;($B103+37))&gt;0,1,0)</x:f>
        <x:v>1</x:v>
      </x:c>
      <x:c r="H103" s="50" t="n">
        <x:f>IF($B103&lt;='Scorecard'!$B$3-74,1,0)</x:f>
        <x:v>0</x:v>
      </x:c>
      <x:c r="I103" s="50" t="n">
        <x:f>IF(COUNTIFS(Events!$B$4:$B$1456,$A103,Events!$C$4:$C$1456,"day60_activity_observed",Events!$D$4:$D$1456,"&gt;="&amp;($B103+60),Events!$D$4:$D$1456,"&lt;="&amp;($B103+74))&gt;0,1,0)</x:f>
        <x:v>0</x:v>
      </x:c>
    </x:row>
    <x:row r="104">
      <x:c r="A104" s="50" t="str">
        <x:f>Members!A104</x:f>
        <x:v>SYN0101</x:v>
      </x:c>
      <x:c r="B104" s="51" t="n">
        <x:f>Members!B104</x:f>
        <x:v>46110</x:v>
      </x:c>
      <x:c r="C104" s="50" t="str">
        <x:f>Members!C104</x:f>
        <x:v>Employer</x:v>
      </x:c>
      <x:c r="D104" s="50" t="n">
        <x:f>IF($B104&lt;='Scorecard'!$B$3-7,1,0)</x:f>
        <x:v>1</x:v>
      </x:c>
      <x:c r="E104" s="50" t="n">
        <x:f>IF(COUNTIFS(Events!$B$4:$B$1456,$A104,Events!$C$4:$C$1456,"coach_contact_completed",Events!$D$4:$D$1456,"&gt;="&amp;($B104+0),Events!$D$4:$D$1456,"&lt;="&amp;($B104+7))&gt;0,1,0)</x:f>
        <x:v>1</x:v>
      </x:c>
      <x:c r="F104" s="50" t="n">
        <x:f>IF($B104&lt;='Scorecard'!$B$3-37,1,0)</x:f>
        <x:v>1</x:v>
      </x:c>
      <x:c r="G104" s="50" t="n">
        <x:f>IF(COUNTIFS(Events!$B$4:$B$1456,$A104,Events!$C$4:$C$1456,"day30_checkin_completed",Events!$D$4:$D$1456,"&gt;="&amp;($B104+28),Events!$D$4:$D$1456,"&lt;="&amp;($B104+37))&gt;0,1,0)</x:f>
        <x:v>0</x:v>
      </x:c>
      <x:c r="H104" s="50" t="n">
        <x:f>IF($B104&lt;='Scorecard'!$B$3-74,1,0)</x:f>
        <x:v>1</x:v>
      </x:c>
      <x:c r="I104" s="50" t="n">
        <x:f>IF(COUNTIFS(Events!$B$4:$B$1456,$A104,Events!$C$4:$C$1456,"day60_activity_observed",Events!$D$4:$D$1456,"&gt;="&amp;($B104+60),Events!$D$4:$D$1456,"&lt;="&amp;($B104+74))&gt;0,1,0)</x:f>
        <x:v>1</x:v>
      </x:c>
    </x:row>
    <x:row r="105">
      <x:c r="A105" s="50" t="str">
        <x:f>Members!A105</x:f>
        <x:v>SYN0102</x:v>
      </x:c>
      <x:c r="B105" s="51" t="n">
        <x:f>Members!B105</x:f>
        <x:v>46202</x:v>
      </x:c>
      <x:c r="C105" s="50" t="str">
        <x:f>Members!C105</x:f>
        <x:v>Direct</x:v>
      </x:c>
      <x:c r="D105" s="50" t="n">
        <x:f>IF($B105&lt;='Scorecard'!$B$3-7,1,0)</x:f>
        <x:v>1</x:v>
      </x:c>
      <x:c r="E105" s="50" t="n">
        <x:f>IF(COUNTIFS(Events!$B$4:$B$1456,$A105,Events!$C$4:$C$1456,"coach_contact_completed",Events!$D$4:$D$1456,"&gt;="&amp;($B105+0),Events!$D$4:$D$1456,"&lt;="&amp;($B105+7))&gt;0,1,0)</x:f>
        <x:v>1</x:v>
      </x:c>
      <x:c r="F105" s="50" t="n">
        <x:f>IF($B105&lt;='Scorecard'!$B$3-37,1,0)</x:f>
        <x:v>1</x:v>
      </x:c>
      <x:c r="G105" s="50" t="n">
        <x:f>IF(COUNTIFS(Events!$B$4:$B$1456,$A105,Events!$C$4:$C$1456,"day30_checkin_completed",Events!$D$4:$D$1456,"&gt;="&amp;($B105+28),Events!$D$4:$D$1456,"&lt;="&amp;($B105+37))&gt;0,1,0)</x:f>
        <x:v>0</x:v>
      </x:c>
      <x:c r="H105" s="50" t="n">
        <x:f>IF($B105&lt;='Scorecard'!$B$3-74,1,0)</x:f>
        <x:v>1</x:v>
      </x:c>
      <x:c r="I105" s="50" t="n">
        <x:f>IF(COUNTIFS(Events!$B$4:$B$1456,$A105,Events!$C$4:$C$1456,"day60_activity_observed",Events!$D$4:$D$1456,"&gt;="&amp;($B105+60),Events!$D$4:$D$1456,"&lt;="&amp;($B105+74))&gt;0,1,0)</x:f>
        <x:v>1</x:v>
      </x:c>
    </x:row>
    <x:row r="106">
      <x:c r="A106" s="50" t="str">
        <x:f>Members!A106</x:f>
        <x:v>SYN0103</x:v>
      </x:c>
      <x:c r="B106" s="51" t="n">
        <x:f>Members!B106</x:f>
        <x:v>46186</x:v>
      </x:c>
      <x:c r="C106" s="50" t="str">
        <x:f>Members!C106</x:f>
        <x:v>Direct</x:v>
      </x:c>
      <x:c r="D106" s="50" t="n">
        <x:f>IF($B106&lt;='Scorecard'!$B$3-7,1,0)</x:f>
        <x:v>1</x:v>
      </x:c>
      <x:c r="E106" s="50" t="n">
        <x:f>IF(COUNTIFS(Events!$B$4:$B$1456,$A106,Events!$C$4:$C$1456,"coach_contact_completed",Events!$D$4:$D$1456,"&gt;="&amp;($B106+0),Events!$D$4:$D$1456,"&lt;="&amp;($B106+7))&gt;0,1,0)</x:f>
        <x:v>1</x:v>
      </x:c>
      <x:c r="F106" s="50" t="n">
        <x:f>IF($B106&lt;='Scorecard'!$B$3-37,1,0)</x:f>
        <x:v>1</x:v>
      </x:c>
      <x:c r="G106" s="50" t="n">
        <x:f>IF(COUNTIFS(Events!$B$4:$B$1456,$A106,Events!$C$4:$C$1456,"day30_checkin_completed",Events!$D$4:$D$1456,"&gt;="&amp;($B106+28),Events!$D$4:$D$1456,"&lt;="&amp;($B106+37))&gt;0,1,0)</x:f>
        <x:v>0</x:v>
      </x:c>
      <x:c r="H106" s="50" t="n">
        <x:f>IF($B106&lt;='Scorecard'!$B$3-74,1,0)</x:f>
        <x:v>1</x:v>
      </x:c>
      <x:c r="I106" s="50" t="n">
        <x:f>IF(COUNTIFS(Events!$B$4:$B$1456,$A106,Events!$C$4:$C$1456,"day60_activity_observed",Events!$D$4:$D$1456,"&gt;="&amp;($B106+60),Events!$D$4:$D$1456,"&lt;="&amp;($B106+74))&gt;0,1,0)</x:f>
        <x:v>1</x:v>
      </x:c>
    </x:row>
    <x:row r="107">
      <x:c r="A107" s="50" t="str">
        <x:f>Members!A107</x:f>
        <x:v>SYN0104</x:v>
      </x:c>
      <x:c r="B107" s="51" t="n">
        <x:f>Members!B107</x:f>
        <x:v>46186</x:v>
      </x:c>
      <x:c r="C107" s="50" t="str">
        <x:f>Members!C107</x:f>
        <x:v>Employer</x:v>
      </x:c>
      <x:c r="D107" s="50" t="n">
        <x:f>IF($B107&lt;='Scorecard'!$B$3-7,1,0)</x:f>
        <x:v>1</x:v>
      </x:c>
      <x:c r="E107" s="50" t="n">
        <x:f>IF(COUNTIFS(Events!$B$4:$B$1456,$A107,Events!$C$4:$C$1456,"coach_contact_completed",Events!$D$4:$D$1456,"&gt;="&amp;($B107+0),Events!$D$4:$D$1456,"&lt;="&amp;($B107+7))&gt;0,1,0)</x:f>
        <x:v>0</x:v>
      </x:c>
      <x:c r="F107" s="50" t="n">
        <x:f>IF($B107&lt;='Scorecard'!$B$3-37,1,0)</x:f>
        <x:v>1</x:v>
      </x:c>
      <x:c r="G107" s="50" t="n">
        <x:f>IF(COUNTIFS(Events!$B$4:$B$1456,$A107,Events!$C$4:$C$1456,"day30_checkin_completed",Events!$D$4:$D$1456,"&gt;="&amp;($B107+28),Events!$D$4:$D$1456,"&lt;="&amp;($B107+37))&gt;0,1,0)</x:f>
        <x:v>1</x:v>
      </x:c>
      <x:c r="H107" s="50" t="n">
        <x:f>IF($B107&lt;='Scorecard'!$B$3-74,1,0)</x:f>
        <x:v>1</x:v>
      </x:c>
      <x:c r="I107" s="50" t="n">
        <x:f>IF(COUNTIFS(Events!$B$4:$B$1456,$A107,Events!$C$4:$C$1456,"day60_activity_observed",Events!$D$4:$D$1456,"&gt;="&amp;($B107+60),Events!$D$4:$D$1456,"&lt;="&amp;($B107+74))&gt;0,1,0)</x:f>
        <x:v>1</x:v>
      </x:c>
    </x:row>
    <x:row r="108">
      <x:c r="A108" s="50" t="str">
        <x:f>Members!A108</x:f>
        <x:v>SYN0105</x:v>
      </x:c>
      <x:c r="B108" s="51" t="n">
        <x:f>Members!B108</x:f>
        <x:v>46173</x:v>
      </x:c>
      <x:c r="C108" s="50" t="str">
        <x:f>Members!C108</x:f>
        <x:v>Employer</x:v>
      </x:c>
      <x:c r="D108" s="50" t="n">
        <x:f>IF($B108&lt;='Scorecard'!$B$3-7,1,0)</x:f>
        <x:v>1</x:v>
      </x:c>
      <x:c r="E108" s="50" t="n">
        <x:f>IF(COUNTIFS(Events!$B$4:$B$1456,$A108,Events!$C$4:$C$1456,"coach_contact_completed",Events!$D$4:$D$1456,"&gt;="&amp;($B108+0),Events!$D$4:$D$1456,"&lt;="&amp;($B108+7))&gt;0,1,0)</x:f>
        <x:v>1</x:v>
      </x:c>
      <x:c r="F108" s="50" t="n">
        <x:f>IF($B108&lt;='Scorecard'!$B$3-37,1,0)</x:f>
        <x:v>1</x:v>
      </x:c>
      <x:c r="G108" s="50" t="n">
        <x:f>IF(COUNTIFS(Events!$B$4:$B$1456,$A108,Events!$C$4:$C$1456,"day30_checkin_completed",Events!$D$4:$D$1456,"&gt;="&amp;($B108+28),Events!$D$4:$D$1456,"&lt;="&amp;($B108+37))&gt;0,1,0)</x:f>
        <x:v>1</x:v>
      </x:c>
      <x:c r="H108" s="50" t="n">
        <x:f>IF($B108&lt;='Scorecard'!$B$3-74,1,0)</x:f>
        <x:v>1</x:v>
      </x:c>
      <x:c r="I108" s="50" t="n">
        <x:f>IF(COUNTIFS(Events!$B$4:$B$1456,$A108,Events!$C$4:$C$1456,"day60_activity_observed",Events!$D$4:$D$1456,"&gt;="&amp;($B108+60),Events!$D$4:$D$1456,"&lt;="&amp;($B108+74))&gt;0,1,0)</x:f>
        <x:v>1</x:v>
      </x:c>
    </x:row>
    <x:row r="109">
      <x:c r="A109" s="50" t="str">
        <x:f>Members!A109</x:f>
        <x:v>SYN0106</x:v>
      </x:c>
      <x:c r="B109" s="51" t="n">
        <x:f>Members!B109</x:f>
        <x:v>46249</x:v>
      </x:c>
      <x:c r="C109" s="50" t="str">
        <x:f>Members!C109</x:f>
        <x:v>Direct</x:v>
      </x:c>
      <x:c r="D109" s="50" t="n">
        <x:f>IF($B109&lt;='Scorecard'!$B$3-7,1,0)</x:f>
        <x:v>1</x:v>
      </x:c>
      <x:c r="E109" s="50" t="n">
        <x:f>IF(COUNTIFS(Events!$B$4:$B$1456,$A109,Events!$C$4:$C$1456,"coach_contact_completed",Events!$D$4:$D$1456,"&gt;="&amp;($B109+0),Events!$D$4:$D$1456,"&lt;="&amp;($B109+7))&gt;0,1,0)</x:f>
        <x:v>1</x:v>
      </x:c>
      <x:c r="F109" s="50" t="n">
        <x:f>IF($B109&lt;='Scorecard'!$B$3-37,1,0)</x:f>
        <x:v>1</x:v>
      </x:c>
      <x:c r="G109" s="50" t="n">
        <x:f>IF(COUNTIFS(Events!$B$4:$B$1456,$A109,Events!$C$4:$C$1456,"day30_checkin_completed",Events!$D$4:$D$1456,"&gt;="&amp;($B109+28),Events!$D$4:$D$1456,"&lt;="&amp;($B109+37))&gt;0,1,0)</x:f>
        <x:v>1</x:v>
      </x:c>
      <x:c r="H109" s="50" t="n">
        <x:f>IF($B109&lt;='Scorecard'!$B$3-74,1,0)</x:f>
        <x:v>0</x:v>
      </x:c>
      <x:c r="I109" s="50" t="n">
        <x:f>IF(COUNTIFS(Events!$B$4:$B$1456,$A109,Events!$C$4:$C$1456,"day60_activity_observed",Events!$D$4:$D$1456,"&gt;="&amp;($B109+60),Events!$D$4:$D$1456,"&lt;="&amp;($B109+74))&gt;0,1,0)</x:f>
        <x:v>0</x:v>
      </x:c>
    </x:row>
    <x:row r="110">
      <x:c r="A110" s="50" t="str">
        <x:f>Members!A110</x:f>
        <x:v>SYN0107</x:v>
      </x:c>
      <x:c r="B110" s="51" t="n">
        <x:f>Members!B110</x:f>
        <x:v>46059</x:v>
      </x:c>
      <x:c r="C110" s="50" t="str">
        <x:f>Members!C110</x:f>
        <x:v>Employer</x:v>
      </x:c>
      <x:c r="D110" s="50" t="n">
        <x:f>IF($B110&lt;='Scorecard'!$B$3-7,1,0)</x:f>
        <x:v>1</x:v>
      </x:c>
      <x:c r="E110" s="50" t="n">
        <x:f>IF(COUNTIFS(Events!$B$4:$B$1456,$A110,Events!$C$4:$C$1456,"coach_contact_completed",Events!$D$4:$D$1456,"&gt;="&amp;($B110+0),Events!$D$4:$D$1456,"&lt;="&amp;($B110+7))&gt;0,1,0)</x:f>
        <x:v>0</x:v>
      </x:c>
      <x:c r="F110" s="50" t="n">
        <x:f>IF($B110&lt;='Scorecard'!$B$3-37,1,0)</x:f>
        <x:v>1</x:v>
      </x:c>
      <x:c r="G110" s="50" t="n">
        <x:f>IF(COUNTIFS(Events!$B$4:$B$1456,$A110,Events!$C$4:$C$1456,"day30_checkin_completed",Events!$D$4:$D$1456,"&gt;="&amp;($B110+28),Events!$D$4:$D$1456,"&lt;="&amp;($B110+37))&gt;0,1,0)</x:f>
        <x:v>1</x:v>
      </x:c>
      <x:c r="H110" s="50" t="n">
        <x:f>IF($B110&lt;='Scorecard'!$B$3-74,1,0)</x:f>
        <x:v>1</x:v>
      </x:c>
      <x:c r="I110" s="50" t="n">
        <x:f>IF(COUNTIFS(Events!$B$4:$B$1456,$A110,Events!$C$4:$C$1456,"day60_activity_observed",Events!$D$4:$D$1456,"&gt;="&amp;($B110+60),Events!$D$4:$D$1456,"&lt;="&amp;($B110+74))&gt;0,1,0)</x:f>
        <x:v>1</x:v>
      </x:c>
    </x:row>
    <x:row r="111">
      <x:c r="A111" s="50" t="str">
        <x:f>Members!A111</x:f>
        <x:v>SYN0108</x:v>
      </x:c>
      <x:c r="B111" s="51" t="n">
        <x:f>Members!B111</x:f>
        <x:v>46205</x:v>
      </x:c>
      <x:c r="C111" s="50" t="str">
        <x:f>Members!C111</x:f>
        <x:v>Employer</x:v>
      </x:c>
      <x:c r="D111" s="50" t="n">
        <x:f>IF($B111&lt;='Scorecard'!$B$3-7,1,0)</x:f>
        <x:v>1</x:v>
      </x:c>
      <x:c r="E111" s="50" t="n">
        <x:f>IF(COUNTIFS(Events!$B$4:$B$1456,$A111,Events!$C$4:$C$1456,"coach_contact_completed",Events!$D$4:$D$1456,"&gt;="&amp;($B111+0),Events!$D$4:$D$1456,"&lt;="&amp;($B111+7))&gt;0,1,0)</x:f>
        <x:v>1</x:v>
      </x:c>
      <x:c r="F111" s="50" t="n">
        <x:f>IF($B111&lt;='Scorecard'!$B$3-37,1,0)</x:f>
        <x:v>1</x:v>
      </x:c>
      <x:c r="G111" s="50" t="n">
        <x:f>IF(COUNTIFS(Events!$B$4:$B$1456,$A111,Events!$C$4:$C$1456,"day30_checkin_completed",Events!$D$4:$D$1456,"&gt;="&amp;($B111+28),Events!$D$4:$D$1456,"&lt;="&amp;($B111+37))&gt;0,1,0)</x:f>
        <x:v>0</x:v>
      </x:c>
      <x:c r="H111" s="50" t="n">
        <x:f>IF($B111&lt;='Scorecard'!$B$3-74,1,0)</x:f>
        <x:v>1</x:v>
      </x:c>
      <x:c r="I111" s="50" t="n">
        <x:f>IF(COUNTIFS(Events!$B$4:$B$1456,$A111,Events!$C$4:$C$1456,"day60_activity_observed",Events!$D$4:$D$1456,"&gt;="&amp;($B111+60),Events!$D$4:$D$1456,"&lt;="&amp;($B111+74))&gt;0,1,0)</x:f>
        <x:v>1</x:v>
      </x:c>
    </x:row>
    <x:row r="112">
      <x:c r="A112" s="50" t="str">
        <x:f>Members!A112</x:f>
        <x:v>SYN0109</x:v>
      </x:c>
      <x:c r="B112" s="51" t="n">
        <x:f>Members!B112</x:f>
        <x:v>46197</x:v>
      </x:c>
      <x:c r="C112" s="50" t="str">
        <x:f>Members!C112</x:f>
        <x:v>Employer</x:v>
      </x:c>
      <x:c r="D112" s="50" t="n">
        <x:f>IF($B112&lt;='Scorecard'!$B$3-7,1,0)</x:f>
        <x:v>1</x:v>
      </x:c>
      <x:c r="E112" s="50" t="n">
        <x:f>IF(COUNTIFS(Events!$B$4:$B$1456,$A112,Events!$C$4:$C$1456,"coach_contact_completed",Events!$D$4:$D$1456,"&gt;="&amp;($B112+0),Events!$D$4:$D$1456,"&lt;="&amp;($B112+7))&gt;0,1,0)</x:f>
        <x:v>1</x:v>
      </x:c>
      <x:c r="F112" s="50" t="n">
        <x:f>IF($B112&lt;='Scorecard'!$B$3-37,1,0)</x:f>
        <x:v>1</x:v>
      </x:c>
      <x:c r="G112" s="50" t="n">
        <x:f>IF(COUNTIFS(Events!$B$4:$B$1456,$A112,Events!$C$4:$C$1456,"day30_checkin_completed",Events!$D$4:$D$1456,"&gt;="&amp;($B112+28),Events!$D$4:$D$1456,"&lt;="&amp;($B112+37))&gt;0,1,0)</x:f>
        <x:v>1</x:v>
      </x:c>
      <x:c r="H112" s="50" t="n">
        <x:f>IF($B112&lt;='Scorecard'!$B$3-74,1,0)</x:f>
        <x:v>1</x:v>
      </x:c>
      <x:c r="I112" s="50" t="n">
        <x:f>IF(COUNTIFS(Events!$B$4:$B$1456,$A112,Events!$C$4:$C$1456,"day60_activity_observed",Events!$D$4:$D$1456,"&gt;="&amp;($B112+60),Events!$D$4:$D$1456,"&lt;="&amp;($B112+74))&gt;0,1,0)</x:f>
        <x:v>1</x:v>
      </x:c>
    </x:row>
    <x:row r="113">
      <x:c r="A113" s="50" t="str">
        <x:f>Members!A113</x:f>
        <x:v>SYN0110</x:v>
      </x:c>
      <x:c r="B113" s="51" t="n">
        <x:f>Members!B113</x:f>
        <x:v>46262</x:v>
      </x:c>
      <x:c r="C113" s="50" t="str">
        <x:f>Members!C113</x:f>
        <x:v>Employer</x:v>
      </x:c>
      <x:c r="D113" s="50" t="n">
        <x:f>IF($B113&lt;='Scorecard'!$B$3-7,1,0)</x:f>
        <x:v>1</x:v>
      </x:c>
      <x:c r="E113" s="50" t="n">
        <x:f>IF(COUNTIFS(Events!$B$4:$B$1456,$A113,Events!$C$4:$C$1456,"coach_contact_completed",Events!$D$4:$D$1456,"&gt;="&amp;($B113+0),Events!$D$4:$D$1456,"&lt;="&amp;($B113+7))&gt;0,1,0)</x:f>
        <x:v>1</x:v>
      </x:c>
      <x:c r="F113" s="50" t="n">
        <x:f>IF($B113&lt;='Scorecard'!$B$3-37,1,0)</x:f>
        <x:v>0</x:v>
      </x:c>
      <x:c r="G113" s="50" t="n">
        <x:f>IF(COUNTIFS(Events!$B$4:$B$1456,$A113,Events!$C$4:$C$1456,"day30_checkin_completed",Events!$D$4:$D$1456,"&gt;="&amp;($B113+28),Events!$D$4:$D$1456,"&lt;="&amp;($B113+37))&gt;0,1,0)</x:f>
        <x:v>0</x:v>
      </x:c>
      <x:c r="H113" s="50" t="n">
        <x:f>IF($B113&lt;='Scorecard'!$B$3-74,1,0)</x:f>
        <x:v>0</x:v>
      </x:c>
      <x:c r="I113" s="50" t="n">
        <x:f>IF(COUNTIFS(Events!$B$4:$B$1456,$A113,Events!$C$4:$C$1456,"day60_activity_observed",Events!$D$4:$D$1456,"&gt;="&amp;($B113+60),Events!$D$4:$D$1456,"&lt;="&amp;($B113+74))&gt;0,1,0)</x:f>
        <x:v>0</x:v>
      </x:c>
    </x:row>
    <x:row r="114">
      <x:c r="A114" s="50" t="str">
        <x:f>Members!A114</x:f>
        <x:v>SYN0111</x:v>
      </x:c>
      <x:c r="B114" s="51" t="n">
        <x:f>Members!B114</x:f>
        <x:v>46207</x:v>
      </x:c>
      <x:c r="C114" s="50" t="str">
        <x:f>Members!C114</x:f>
        <x:v>Direct</x:v>
      </x:c>
      <x:c r="D114" s="50" t="n">
        <x:f>IF($B114&lt;='Scorecard'!$B$3-7,1,0)</x:f>
        <x:v>1</x:v>
      </x:c>
      <x:c r="E114" s="50" t="n">
        <x:f>IF(COUNTIFS(Events!$B$4:$B$1456,$A114,Events!$C$4:$C$1456,"coach_contact_completed",Events!$D$4:$D$1456,"&gt;="&amp;($B114+0),Events!$D$4:$D$1456,"&lt;="&amp;($B114+7))&gt;0,1,0)</x:f>
        <x:v>1</x:v>
      </x:c>
      <x:c r="F114" s="50" t="n">
        <x:f>IF($B114&lt;='Scorecard'!$B$3-37,1,0)</x:f>
        <x:v>1</x:v>
      </x:c>
      <x:c r="G114" s="50" t="n">
        <x:f>IF(COUNTIFS(Events!$B$4:$B$1456,$A114,Events!$C$4:$C$1456,"day30_checkin_completed",Events!$D$4:$D$1456,"&gt;="&amp;($B114+28),Events!$D$4:$D$1456,"&lt;="&amp;($B114+37))&gt;0,1,0)</x:f>
        <x:v>1</x:v>
      </x:c>
      <x:c r="H114" s="50" t="n">
        <x:f>IF($B114&lt;='Scorecard'!$B$3-74,1,0)</x:f>
        <x:v>1</x:v>
      </x:c>
      <x:c r="I114" s="50" t="n">
        <x:f>IF(COUNTIFS(Events!$B$4:$B$1456,$A114,Events!$C$4:$C$1456,"day60_activity_observed",Events!$D$4:$D$1456,"&gt;="&amp;($B114+60),Events!$D$4:$D$1456,"&lt;="&amp;($B114+74))&gt;0,1,0)</x:f>
        <x:v>1</x:v>
      </x:c>
    </x:row>
    <x:row r="115">
      <x:c r="A115" s="50" t="str">
        <x:f>Members!A115</x:f>
        <x:v>SYN0112</x:v>
      </x:c>
      <x:c r="B115" s="51" t="n">
        <x:f>Members!B115</x:f>
        <x:v>46047</x:v>
      </x:c>
      <x:c r="C115" s="50" t="str">
        <x:f>Members!C115</x:f>
        <x:v>Employer</x:v>
      </x:c>
      <x:c r="D115" s="50" t="n">
        <x:f>IF($B115&lt;='Scorecard'!$B$3-7,1,0)</x:f>
        <x:v>1</x:v>
      </x:c>
      <x:c r="E115" s="50" t="n">
        <x:f>IF(COUNTIFS(Events!$B$4:$B$1456,$A115,Events!$C$4:$C$1456,"coach_contact_completed",Events!$D$4:$D$1456,"&gt;="&amp;($B115+0),Events!$D$4:$D$1456,"&lt;="&amp;($B115+7))&gt;0,1,0)</x:f>
        <x:v>1</x:v>
      </x:c>
      <x:c r="F115" s="50" t="n">
        <x:f>IF($B115&lt;='Scorecard'!$B$3-37,1,0)</x:f>
        <x:v>1</x:v>
      </x:c>
      <x:c r="G115" s="50" t="n">
        <x:f>IF(COUNTIFS(Events!$B$4:$B$1456,$A115,Events!$C$4:$C$1456,"day30_checkin_completed",Events!$D$4:$D$1456,"&gt;="&amp;($B115+28),Events!$D$4:$D$1456,"&lt;="&amp;($B115+37))&gt;0,1,0)</x:f>
        <x:v>1</x:v>
      </x:c>
      <x:c r="H115" s="50" t="n">
        <x:f>IF($B115&lt;='Scorecard'!$B$3-74,1,0)</x:f>
        <x:v>1</x:v>
      </x:c>
      <x:c r="I115" s="50" t="n">
        <x:f>IF(COUNTIFS(Events!$B$4:$B$1456,$A115,Events!$C$4:$C$1456,"day60_activity_observed",Events!$D$4:$D$1456,"&gt;="&amp;($B115+60),Events!$D$4:$D$1456,"&lt;="&amp;($B115+74))&gt;0,1,0)</x:f>
        <x:v>1</x:v>
      </x:c>
    </x:row>
    <x:row r="116">
      <x:c r="A116" s="50" t="str">
        <x:f>Members!A116</x:f>
        <x:v>SYN0113</x:v>
      </x:c>
      <x:c r="B116" s="51" t="n">
        <x:f>Members!B116</x:f>
        <x:v>46172</x:v>
      </x:c>
      <x:c r="C116" s="50" t="str">
        <x:f>Members!C116</x:f>
        <x:v>Direct</x:v>
      </x:c>
      <x:c r="D116" s="50" t="n">
        <x:f>IF($B116&lt;='Scorecard'!$B$3-7,1,0)</x:f>
        <x:v>1</x:v>
      </x:c>
      <x:c r="E116" s="50" t="n">
        <x:f>IF(COUNTIFS(Events!$B$4:$B$1456,$A116,Events!$C$4:$C$1456,"coach_contact_completed",Events!$D$4:$D$1456,"&gt;="&amp;($B116+0),Events!$D$4:$D$1456,"&lt;="&amp;($B116+7))&gt;0,1,0)</x:f>
        <x:v>1</x:v>
      </x:c>
      <x:c r="F116" s="50" t="n">
        <x:f>IF($B116&lt;='Scorecard'!$B$3-37,1,0)</x:f>
        <x:v>1</x:v>
      </x:c>
      <x:c r="G116" s="50" t="n">
        <x:f>IF(COUNTIFS(Events!$B$4:$B$1456,$A116,Events!$C$4:$C$1456,"day30_checkin_completed",Events!$D$4:$D$1456,"&gt;="&amp;($B116+28),Events!$D$4:$D$1456,"&lt;="&amp;($B116+37))&gt;0,1,0)</x:f>
        <x:v>1</x:v>
      </x:c>
      <x:c r="H116" s="50" t="n">
        <x:f>IF($B116&lt;='Scorecard'!$B$3-74,1,0)</x:f>
        <x:v>1</x:v>
      </x:c>
      <x:c r="I116" s="50" t="n">
        <x:f>IF(COUNTIFS(Events!$B$4:$B$1456,$A116,Events!$C$4:$C$1456,"day60_activity_observed",Events!$D$4:$D$1456,"&gt;="&amp;($B116+60),Events!$D$4:$D$1456,"&lt;="&amp;($B116+74))&gt;0,1,0)</x:f>
        <x:v>0</x:v>
      </x:c>
    </x:row>
    <x:row r="117">
      <x:c r="A117" s="50" t="str">
        <x:f>Members!A117</x:f>
        <x:v>SYN0114</x:v>
      </x:c>
      <x:c r="B117" s="51" t="n">
        <x:f>Members!B117</x:f>
        <x:v>46083</x:v>
      </x:c>
      <x:c r="C117" s="50" t="str">
        <x:f>Members!C117</x:f>
        <x:v>Employer</x:v>
      </x:c>
      <x:c r="D117" s="50" t="n">
        <x:f>IF($B117&lt;='Scorecard'!$B$3-7,1,0)</x:f>
        <x:v>1</x:v>
      </x:c>
      <x:c r="E117" s="50" t="n">
        <x:f>IF(COUNTIFS(Events!$B$4:$B$1456,$A117,Events!$C$4:$C$1456,"coach_contact_completed",Events!$D$4:$D$1456,"&gt;="&amp;($B117+0),Events!$D$4:$D$1456,"&lt;="&amp;($B117+7))&gt;0,1,0)</x:f>
        <x:v>1</x:v>
      </x:c>
      <x:c r="F117" s="50" t="n">
        <x:f>IF($B117&lt;='Scorecard'!$B$3-37,1,0)</x:f>
        <x:v>1</x:v>
      </x:c>
      <x:c r="G117" s="50" t="n">
        <x:f>IF(COUNTIFS(Events!$B$4:$B$1456,$A117,Events!$C$4:$C$1456,"day30_checkin_completed",Events!$D$4:$D$1456,"&gt;="&amp;($B117+28),Events!$D$4:$D$1456,"&lt;="&amp;($B117+37))&gt;0,1,0)</x:f>
        <x:v>1</x:v>
      </x:c>
      <x:c r="H117" s="50" t="n">
        <x:f>IF($B117&lt;='Scorecard'!$B$3-74,1,0)</x:f>
        <x:v>1</x:v>
      </x:c>
      <x:c r="I117" s="50" t="n">
        <x:f>IF(COUNTIFS(Events!$B$4:$B$1456,$A117,Events!$C$4:$C$1456,"day60_activity_observed",Events!$D$4:$D$1456,"&gt;="&amp;($B117+60),Events!$D$4:$D$1456,"&lt;="&amp;($B117+74))&gt;0,1,0)</x:f>
        <x:v>0</x:v>
      </x:c>
    </x:row>
    <x:row r="118">
      <x:c r="A118" s="50" t="str">
        <x:f>Members!A118</x:f>
        <x:v>SYN0115</x:v>
      </x:c>
      <x:c r="B118" s="51" t="n">
        <x:f>Members!B118</x:f>
        <x:v>46122</x:v>
      </x:c>
      <x:c r="C118" s="50" t="str">
        <x:f>Members!C118</x:f>
        <x:v>Direct</x:v>
      </x:c>
      <x:c r="D118" s="50" t="n">
        <x:f>IF($B118&lt;='Scorecard'!$B$3-7,1,0)</x:f>
        <x:v>1</x:v>
      </x:c>
      <x:c r="E118" s="50" t="n">
        <x:f>IF(COUNTIFS(Events!$B$4:$B$1456,$A118,Events!$C$4:$C$1456,"coach_contact_completed",Events!$D$4:$D$1456,"&gt;="&amp;($B118+0),Events!$D$4:$D$1456,"&lt;="&amp;($B118+7))&gt;0,1,0)</x:f>
        <x:v>0</x:v>
      </x:c>
      <x:c r="F118" s="50" t="n">
        <x:f>IF($B118&lt;='Scorecard'!$B$3-37,1,0)</x:f>
        <x:v>1</x:v>
      </x:c>
      <x:c r="G118" s="50" t="n">
        <x:f>IF(COUNTIFS(Events!$B$4:$B$1456,$A118,Events!$C$4:$C$1456,"day30_checkin_completed",Events!$D$4:$D$1456,"&gt;="&amp;($B118+28),Events!$D$4:$D$1456,"&lt;="&amp;($B118+37))&gt;0,1,0)</x:f>
        <x:v>0</x:v>
      </x:c>
      <x:c r="H118" s="50" t="n">
        <x:f>IF($B118&lt;='Scorecard'!$B$3-74,1,0)</x:f>
        <x:v>1</x:v>
      </x:c>
      <x:c r="I118" s="50" t="n">
        <x:f>IF(COUNTIFS(Events!$B$4:$B$1456,$A118,Events!$C$4:$C$1456,"day60_activity_observed",Events!$D$4:$D$1456,"&gt;="&amp;($B118+60),Events!$D$4:$D$1456,"&lt;="&amp;($B118+74))&gt;0,1,0)</x:f>
        <x:v>0</x:v>
      </x:c>
    </x:row>
    <x:row r="119">
      <x:c r="A119" s="50" t="str">
        <x:f>Members!A119</x:f>
        <x:v>SYN0116</x:v>
      </x:c>
      <x:c r="B119" s="51" t="n">
        <x:f>Members!B119</x:f>
        <x:v>46216</x:v>
      </x:c>
      <x:c r="C119" s="50" t="str">
        <x:f>Members!C119</x:f>
        <x:v>Direct</x:v>
      </x:c>
      <x:c r="D119" s="50" t="n">
        <x:f>IF($B119&lt;='Scorecard'!$B$3-7,1,0)</x:f>
        <x:v>1</x:v>
      </x:c>
      <x:c r="E119" s="50" t="n">
        <x:f>IF(COUNTIFS(Events!$B$4:$B$1456,$A119,Events!$C$4:$C$1456,"coach_contact_completed",Events!$D$4:$D$1456,"&gt;="&amp;($B119+0),Events!$D$4:$D$1456,"&lt;="&amp;($B119+7))&gt;0,1,0)</x:f>
        <x:v>1</x:v>
      </x:c>
      <x:c r="F119" s="50" t="n">
        <x:f>IF($B119&lt;='Scorecard'!$B$3-37,1,0)</x:f>
        <x:v>1</x:v>
      </x:c>
      <x:c r="G119" s="50" t="n">
        <x:f>IF(COUNTIFS(Events!$B$4:$B$1456,$A119,Events!$C$4:$C$1456,"day30_checkin_completed",Events!$D$4:$D$1456,"&gt;="&amp;($B119+28),Events!$D$4:$D$1456,"&lt;="&amp;($B119+37))&gt;0,1,0)</x:f>
        <x:v>0</x:v>
      </x:c>
      <x:c r="H119" s="50" t="n">
        <x:f>IF($B119&lt;='Scorecard'!$B$3-74,1,0)</x:f>
        <x:v>1</x:v>
      </x:c>
      <x:c r="I119" s="50" t="n">
        <x:f>IF(COUNTIFS(Events!$B$4:$B$1456,$A119,Events!$C$4:$C$1456,"day60_activity_observed",Events!$D$4:$D$1456,"&gt;="&amp;($B119+60),Events!$D$4:$D$1456,"&lt;="&amp;($B119+74))&gt;0,1,0)</x:f>
        <x:v>1</x:v>
      </x:c>
    </x:row>
    <x:row r="120">
      <x:c r="A120" s="50" t="str">
        <x:f>Members!A120</x:f>
        <x:v>SYN0117</x:v>
      </x:c>
      <x:c r="B120" s="51" t="n">
        <x:f>Members!B120</x:f>
        <x:v>46239</x:v>
      </x:c>
      <x:c r="C120" s="50" t="str">
        <x:f>Members!C120</x:f>
        <x:v>Direct</x:v>
      </x:c>
      <x:c r="D120" s="50" t="n">
        <x:f>IF($B120&lt;='Scorecard'!$B$3-7,1,0)</x:f>
        <x:v>1</x:v>
      </x:c>
      <x:c r="E120" s="50" t="n">
        <x:f>IF(COUNTIFS(Events!$B$4:$B$1456,$A120,Events!$C$4:$C$1456,"coach_contact_completed",Events!$D$4:$D$1456,"&gt;="&amp;($B120+0),Events!$D$4:$D$1456,"&lt;="&amp;($B120+7))&gt;0,1,0)</x:f>
        <x:v>0</x:v>
      </x:c>
      <x:c r="F120" s="50" t="n">
        <x:f>IF($B120&lt;='Scorecard'!$B$3-37,1,0)</x:f>
        <x:v>1</x:v>
      </x:c>
      <x:c r="G120" s="50" t="n">
        <x:f>IF(COUNTIFS(Events!$B$4:$B$1456,$A120,Events!$C$4:$C$1456,"day30_checkin_completed",Events!$D$4:$D$1456,"&gt;="&amp;($B120+28),Events!$D$4:$D$1456,"&lt;="&amp;($B120+37))&gt;0,1,0)</x:f>
        <x:v>1</x:v>
      </x:c>
      <x:c r="H120" s="50" t="n">
        <x:f>IF($B120&lt;='Scorecard'!$B$3-74,1,0)</x:f>
        <x:v>0</x:v>
      </x:c>
      <x:c r="I120" s="50" t="n">
        <x:f>IF(COUNTIFS(Events!$B$4:$B$1456,$A120,Events!$C$4:$C$1456,"day60_activity_observed",Events!$D$4:$D$1456,"&gt;="&amp;($B120+60),Events!$D$4:$D$1456,"&lt;="&amp;($B120+74))&gt;0,1,0)</x:f>
        <x:v>0</x:v>
      </x:c>
    </x:row>
    <x:row r="121">
      <x:c r="A121" s="50" t="str">
        <x:f>Members!A121</x:f>
        <x:v>SYN0118</x:v>
      </x:c>
      <x:c r="B121" s="51" t="n">
        <x:f>Members!B121</x:f>
        <x:v>46084</x:v>
      </x:c>
      <x:c r="C121" s="50" t="str">
        <x:f>Members!C121</x:f>
        <x:v>Direct</x:v>
      </x:c>
      <x:c r="D121" s="50" t="n">
        <x:f>IF($B121&lt;='Scorecard'!$B$3-7,1,0)</x:f>
        <x:v>1</x:v>
      </x:c>
      <x:c r="E121" s="50" t="n">
        <x:f>IF(COUNTIFS(Events!$B$4:$B$1456,$A121,Events!$C$4:$C$1456,"coach_contact_completed",Events!$D$4:$D$1456,"&gt;="&amp;($B121+0),Events!$D$4:$D$1456,"&lt;="&amp;($B121+7))&gt;0,1,0)</x:f>
        <x:v>1</x:v>
      </x:c>
      <x:c r="F121" s="50" t="n">
        <x:f>IF($B121&lt;='Scorecard'!$B$3-37,1,0)</x:f>
        <x:v>1</x:v>
      </x:c>
      <x:c r="G121" s="50" t="n">
        <x:f>IF(COUNTIFS(Events!$B$4:$B$1456,$A121,Events!$C$4:$C$1456,"day30_checkin_completed",Events!$D$4:$D$1456,"&gt;="&amp;($B121+28),Events!$D$4:$D$1456,"&lt;="&amp;($B121+37))&gt;0,1,0)</x:f>
        <x:v>1</x:v>
      </x:c>
      <x:c r="H121" s="50" t="n">
        <x:f>IF($B121&lt;='Scorecard'!$B$3-74,1,0)</x:f>
        <x:v>1</x:v>
      </x:c>
      <x:c r="I121" s="50" t="n">
        <x:f>IF(COUNTIFS(Events!$B$4:$B$1456,$A121,Events!$C$4:$C$1456,"day60_activity_observed",Events!$D$4:$D$1456,"&gt;="&amp;($B121+60),Events!$D$4:$D$1456,"&lt;="&amp;($B121+74))&gt;0,1,0)</x:f>
        <x:v>1</x:v>
      </x:c>
    </x:row>
    <x:row r="122">
      <x:c r="A122" s="50" t="str">
        <x:f>Members!A122</x:f>
        <x:v>SYN0119</x:v>
      </x:c>
      <x:c r="B122" s="51" t="n">
        <x:f>Members!B122</x:f>
        <x:v>46082</x:v>
      </x:c>
      <x:c r="C122" s="50" t="str">
        <x:f>Members!C122</x:f>
        <x:v>Direct</x:v>
      </x:c>
      <x:c r="D122" s="50" t="n">
        <x:f>IF($B122&lt;='Scorecard'!$B$3-7,1,0)</x:f>
        <x:v>1</x:v>
      </x:c>
      <x:c r="E122" s="50" t="n">
        <x:f>IF(COUNTIFS(Events!$B$4:$B$1456,$A122,Events!$C$4:$C$1456,"coach_contact_completed",Events!$D$4:$D$1456,"&gt;="&amp;($B122+0),Events!$D$4:$D$1456,"&lt;="&amp;($B122+7))&gt;0,1,0)</x:f>
        <x:v>1</x:v>
      </x:c>
      <x:c r="F122" s="50" t="n">
        <x:f>IF($B122&lt;='Scorecard'!$B$3-37,1,0)</x:f>
        <x:v>1</x:v>
      </x:c>
      <x:c r="G122" s="50" t="n">
        <x:f>IF(COUNTIFS(Events!$B$4:$B$1456,$A122,Events!$C$4:$C$1456,"day30_checkin_completed",Events!$D$4:$D$1456,"&gt;="&amp;($B122+28),Events!$D$4:$D$1456,"&lt;="&amp;($B122+37))&gt;0,1,0)</x:f>
        <x:v>0</x:v>
      </x:c>
      <x:c r="H122" s="50" t="n">
        <x:f>IF($B122&lt;='Scorecard'!$B$3-74,1,0)</x:f>
        <x:v>1</x:v>
      </x:c>
      <x:c r="I122" s="50" t="n">
        <x:f>IF(COUNTIFS(Events!$B$4:$B$1456,$A122,Events!$C$4:$C$1456,"day60_activity_observed",Events!$D$4:$D$1456,"&gt;="&amp;($B122+60),Events!$D$4:$D$1456,"&lt;="&amp;($B122+74))&gt;0,1,0)</x:f>
        <x:v>1</x:v>
      </x:c>
    </x:row>
    <x:row r="123">
      <x:c r="A123" s="50" t="str">
        <x:f>Members!A123</x:f>
        <x:v>SYN0120</x:v>
      </x:c>
      <x:c r="B123" s="51" t="n">
        <x:f>Members!B123</x:f>
        <x:v>46109</x:v>
      </x:c>
      <x:c r="C123" s="50" t="str">
        <x:f>Members!C123</x:f>
        <x:v>Direct</x:v>
      </x:c>
      <x:c r="D123" s="50" t="n">
        <x:f>IF($B123&lt;='Scorecard'!$B$3-7,1,0)</x:f>
        <x:v>1</x:v>
      </x:c>
      <x:c r="E123" s="50" t="n">
        <x:f>IF(COUNTIFS(Events!$B$4:$B$1456,$A123,Events!$C$4:$C$1456,"coach_contact_completed",Events!$D$4:$D$1456,"&gt;="&amp;($B123+0),Events!$D$4:$D$1456,"&lt;="&amp;($B123+7))&gt;0,1,0)</x:f>
        <x:v>1</x:v>
      </x:c>
      <x:c r="F123" s="50" t="n">
        <x:f>IF($B123&lt;='Scorecard'!$B$3-37,1,0)</x:f>
        <x:v>1</x:v>
      </x:c>
      <x:c r="G123" s="50" t="n">
        <x:f>IF(COUNTIFS(Events!$B$4:$B$1456,$A123,Events!$C$4:$C$1456,"day30_checkin_completed",Events!$D$4:$D$1456,"&gt;="&amp;($B123+28),Events!$D$4:$D$1456,"&lt;="&amp;($B123+37))&gt;0,1,0)</x:f>
        <x:v>1</x:v>
      </x:c>
      <x:c r="H123" s="50" t="n">
        <x:f>IF($B123&lt;='Scorecard'!$B$3-74,1,0)</x:f>
        <x:v>1</x:v>
      </x:c>
      <x:c r="I123" s="50" t="n">
        <x:f>IF(COUNTIFS(Events!$B$4:$B$1456,$A123,Events!$C$4:$C$1456,"day60_activity_observed",Events!$D$4:$D$1456,"&gt;="&amp;($B123+60),Events!$D$4:$D$1456,"&lt;="&amp;($B123+74))&gt;0,1,0)</x:f>
        <x:v>1</x:v>
      </x:c>
    </x:row>
    <x:row r="124">
      <x:c r="A124" s="50" t="str">
        <x:f>Members!A124</x:f>
        <x:v>SYN0121</x:v>
      </x:c>
      <x:c r="B124" s="51" t="n">
        <x:f>Members!B124</x:f>
        <x:v>46176</x:v>
      </x:c>
      <x:c r="C124" s="50" t="str">
        <x:f>Members!C124</x:f>
        <x:v>Employer</x:v>
      </x:c>
      <x:c r="D124" s="50" t="n">
        <x:f>IF($B124&lt;='Scorecard'!$B$3-7,1,0)</x:f>
        <x:v>1</x:v>
      </x:c>
      <x:c r="E124" s="50" t="n">
        <x:f>IF(COUNTIFS(Events!$B$4:$B$1456,$A124,Events!$C$4:$C$1456,"coach_contact_completed",Events!$D$4:$D$1456,"&gt;="&amp;($B124+0),Events!$D$4:$D$1456,"&lt;="&amp;($B124+7))&gt;0,1,0)</x:f>
        <x:v>0</x:v>
      </x:c>
      <x:c r="F124" s="50" t="n">
        <x:f>IF($B124&lt;='Scorecard'!$B$3-37,1,0)</x:f>
        <x:v>1</x:v>
      </x:c>
      <x:c r="G124" s="50" t="n">
        <x:f>IF(COUNTIFS(Events!$B$4:$B$1456,$A124,Events!$C$4:$C$1456,"day30_checkin_completed",Events!$D$4:$D$1456,"&gt;="&amp;($B124+28),Events!$D$4:$D$1456,"&lt;="&amp;($B124+37))&gt;0,1,0)</x:f>
        <x:v>1</x:v>
      </x:c>
      <x:c r="H124" s="50" t="n">
        <x:f>IF($B124&lt;='Scorecard'!$B$3-74,1,0)</x:f>
        <x:v>1</x:v>
      </x:c>
      <x:c r="I124" s="50" t="n">
        <x:f>IF(COUNTIFS(Events!$B$4:$B$1456,$A124,Events!$C$4:$C$1456,"day60_activity_observed",Events!$D$4:$D$1456,"&gt;="&amp;($B124+60),Events!$D$4:$D$1456,"&lt;="&amp;($B124+74))&gt;0,1,0)</x:f>
        <x:v>1</x:v>
      </x:c>
    </x:row>
    <x:row r="125">
      <x:c r="A125" s="50" t="str">
        <x:f>Members!A125</x:f>
        <x:v>SYN0122</x:v>
      </x:c>
      <x:c r="B125" s="51" t="n">
        <x:f>Members!B125</x:f>
        <x:v>46259</x:v>
      </x:c>
      <x:c r="C125" s="50" t="str">
        <x:f>Members!C125</x:f>
        <x:v>Direct</x:v>
      </x:c>
      <x:c r="D125" s="50" t="n">
        <x:f>IF($B125&lt;='Scorecard'!$B$3-7,1,0)</x:f>
        <x:v>1</x:v>
      </x:c>
      <x:c r="E125" s="50" t="n">
        <x:f>IF(COUNTIFS(Events!$B$4:$B$1456,$A125,Events!$C$4:$C$1456,"coach_contact_completed",Events!$D$4:$D$1456,"&gt;="&amp;($B125+0),Events!$D$4:$D$1456,"&lt;="&amp;($B125+7))&gt;0,1,0)</x:f>
        <x:v>1</x:v>
      </x:c>
      <x:c r="F125" s="50" t="n">
        <x:f>IF($B125&lt;='Scorecard'!$B$3-37,1,0)</x:f>
        <x:v>0</x:v>
      </x:c>
      <x:c r="G125" s="50" t="n">
        <x:f>IF(COUNTIFS(Events!$B$4:$B$1456,$A125,Events!$C$4:$C$1456,"day30_checkin_completed",Events!$D$4:$D$1456,"&gt;="&amp;($B125+28),Events!$D$4:$D$1456,"&lt;="&amp;($B125+37))&gt;0,1,0)</x:f>
        <x:v>1</x:v>
      </x:c>
      <x:c r="H125" s="50" t="n">
        <x:f>IF($B125&lt;='Scorecard'!$B$3-74,1,0)</x:f>
        <x:v>0</x:v>
      </x:c>
      <x:c r="I125" s="50" t="n">
        <x:f>IF(COUNTIFS(Events!$B$4:$B$1456,$A125,Events!$C$4:$C$1456,"day60_activity_observed",Events!$D$4:$D$1456,"&gt;="&amp;($B125+60),Events!$D$4:$D$1456,"&lt;="&amp;($B125+74))&gt;0,1,0)</x:f>
        <x:v>0</x:v>
      </x:c>
    </x:row>
    <x:row r="126">
      <x:c r="A126" s="50" t="str">
        <x:f>Members!A126</x:f>
        <x:v>SYN0123</x:v>
      </x:c>
      <x:c r="B126" s="51" t="n">
        <x:f>Members!B126</x:f>
        <x:v>46198</x:v>
      </x:c>
      <x:c r="C126" s="50" t="str">
        <x:f>Members!C126</x:f>
        <x:v>Direct</x:v>
      </x:c>
      <x:c r="D126" s="50" t="n">
        <x:f>IF($B126&lt;='Scorecard'!$B$3-7,1,0)</x:f>
        <x:v>1</x:v>
      </x:c>
      <x:c r="E126" s="50" t="n">
        <x:f>IF(COUNTIFS(Events!$B$4:$B$1456,$A126,Events!$C$4:$C$1456,"coach_contact_completed",Events!$D$4:$D$1456,"&gt;="&amp;($B126+0),Events!$D$4:$D$1456,"&lt;="&amp;($B126+7))&gt;0,1,0)</x:f>
        <x:v>0</x:v>
      </x:c>
      <x:c r="F126" s="50" t="n">
        <x:f>IF($B126&lt;='Scorecard'!$B$3-37,1,0)</x:f>
        <x:v>1</x:v>
      </x:c>
      <x:c r="G126" s="50" t="n">
        <x:f>IF(COUNTIFS(Events!$B$4:$B$1456,$A126,Events!$C$4:$C$1456,"day30_checkin_completed",Events!$D$4:$D$1456,"&gt;="&amp;($B126+28),Events!$D$4:$D$1456,"&lt;="&amp;($B126+37))&gt;0,1,0)</x:f>
        <x:v>1</x:v>
      </x:c>
      <x:c r="H126" s="50" t="n">
        <x:f>IF($B126&lt;='Scorecard'!$B$3-74,1,0)</x:f>
        <x:v>1</x:v>
      </x:c>
      <x:c r="I126" s="50" t="n">
        <x:f>IF(COUNTIFS(Events!$B$4:$B$1456,$A126,Events!$C$4:$C$1456,"day60_activity_observed",Events!$D$4:$D$1456,"&gt;="&amp;($B126+60),Events!$D$4:$D$1456,"&lt;="&amp;($B126+74))&gt;0,1,0)</x:f>
        <x:v>0</x:v>
      </x:c>
    </x:row>
    <x:row r="127">
      <x:c r="A127" s="50" t="str">
        <x:f>Members!A127</x:f>
        <x:v>SYN0124</x:v>
      </x:c>
      <x:c r="B127" s="51" t="n">
        <x:f>Members!B127</x:f>
        <x:v>46248</x:v>
      </x:c>
      <x:c r="C127" s="50" t="str">
        <x:f>Members!C127</x:f>
        <x:v>Direct</x:v>
      </x:c>
      <x:c r="D127" s="50" t="n">
        <x:f>IF($B127&lt;='Scorecard'!$B$3-7,1,0)</x:f>
        <x:v>1</x:v>
      </x:c>
      <x:c r="E127" s="50" t="n">
        <x:f>IF(COUNTIFS(Events!$B$4:$B$1456,$A127,Events!$C$4:$C$1456,"coach_contact_completed",Events!$D$4:$D$1456,"&gt;="&amp;($B127+0),Events!$D$4:$D$1456,"&lt;="&amp;($B127+7))&gt;0,1,0)</x:f>
        <x:v>1</x:v>
      </x:c>
      <x:c r="F127" s="50" t="n">
        <x:f>IF($B127&lt;='Scorecard'!$B$3-37,1,0)</x:f>
        <x:v>1</x:v>
      </x:c>
      <x:c r="G127" s="50" t="n">
        <x:f>IF(COUNTIFS(Events!$B$4:$B$1456,$A127,Events!$C$4:$C$1456,"day30_checkin_completed",Events!$D$4:$D$1456,"&gt;="&amp;($B127+28),Events!$D$4:$D$1456,"&lt;="&amp;($B127+37))&gt;0,1,0)</x:f>
        <x:v>1</x:v>
      </x:c>
      <x:c r="H127" s="50" t="n">
        <x:f>IF($B127&lt;='Scorecard'!$B$3-74,1,0)</x:f>
        <x:v>0</x:v>
      </x:c>
      <x:c r="I127" s="50" t="n">
        <x:f>IF(COUNTIFS(Events!$B$4:$B$1456,$A127,Events!$C$4:$C$1456,"day60_activity_observed",Events!$D$4:$D$1456,"&gt;="&amp;($B127+60),Events!$D$4:$D$1456,"&lt;="&amp;($B127+74))&gt;0,1,0)</x:f>
        <x:v>0</x:v>
      </x:c>
    </x:row>
    <x:row r="128">
      <x:c r="A128" s="50" t="str">
        <x:f>Members!A128</x:f>
        <x:v>SYN0125</x:v>
      </x:c>
      <x:c r="B128" s="51" t="n">
        <x:f>Members!B128</x:f>
        <x:v>46181</x:v>
      </x:c>
      <x:c r="C128" s="50" t="str">
        <x:f>Members!C128</x:f>
        <x:v>Employer</x:v>
      </x:c>
      <x:c r="D128" s="50" t="n">
        <x:f>IF($B128&lt;='Scorecard'!$B$3-7,1,0)</x:f>
        <x:v>1</x:v>
      </x:c>
      <x:c r="E128" s="50" t="n">
        <x:f>IF(COUNTIFS(Events!$B$4:$B$1456,$A128,Events!$C$4:$C$1456,"coach_contact_completed",Events!$D$4:$D$1456,"&gt;="&amp;($B128+0),Events!$D$4:$D$1456,"&lt;="&amp;($B128+7))&gt;0,1,0)</x:f>
        <x:v>1</x:v>
      </x:c>
      <x:c r="F128" s="50" t="n">
        <x:f>IF($B128&lt;='Scorecard'!$B$3-37,1,0)</x:f>
        <x:v>1</x:v>
      </x:c>
      <x:c r="G128" s="50" t="n">
        <x:f>IF(COUNTIFS(Events!$B$4:$B$1456,$A128,Events!$C$4:$C$1456,"day30_checkin_completed",Events!$D$4:$D$1456,"&gt;="&amp;($B128+28),Events!$D$4:$D$1456,"&lt;="&amp;($B128+37))&gt;0,1,0)</x:f>
        <x:v>1</x:v>
      </x:c>
      <x:c r="H128" s="50" t="n">
        <x:f>IF($B128&lt;='Scorecard'!$B$3-74,1,0)</x:f>
        <x:v>1</x:v>
      </x:c>
      <x:c r="I128" s="50" t="n">
        <x:f>IF(COUNTIFS(Events!$B$4:$B$1456,$A128,Events!$C$4:$C$1456,"day60_activity_observed",Events!$D$4:$D$1456,"&gt;="&amp;($B128+60),Events!$D$4:$D$1456,"&lt;="&amp;($B128+74))&gt;0,1,0)</x:f>
        <x:v>0</x:v>
      </x:c>
    </x:row>
    <x:row r="129">
      <x:c r="A129" s="50" t="str">
        <x:f>Members!A129</x:f>
        <x:v>SYN0126</x:v>
      </x:c>
      <x:c r="B129" s="51" t="n">
        <x:f>Members!B129</x:f>
        <x:v>46245</x:v>
      </x:c>
      <x:c r="C129" s="50" t="str">
        <x:f>Members!C129</x:f>
        <x:v>Direct</x:v>
      </x:c>
      <x:c r="D129" s="50" t="n">
        <x:f>IF($B129&lt;='Scorecard'!$B$3-7,1,0)</x:f>
        <x:v>1</x:v>
      </x:c>
      <x:c r="E129" s="50" t="n">
        <x:f>IF(COUNTIFS(Events!$B$4:$B$1456,$A129,Events!$C$4:$C$1456,"coach_contact_completed",Events!$D$4:$D$1456,"&gt;="&amp;($B129+0),Events!$D$4:$D$1456,"&lt;="&amp;($B129+7))&gt;0,1,0)</x:f>
        <x:v>1</x:v>
      </x:c>
      <x:c r="F129" s="50" t="n">
        <x:f>IF($B129&lt;='Scorecard'!$B$3-37,1,0)</x:f>
        <x:v>1</x:v>
      </x:c>
      <x:c r="G129" s="50" t="n">
        <x:f>IF(COUNTIFS(Events!$B$4:$B$1456,$A129,Events!$C$4:$C$1456,"day30_checkin_completed",Events!$D$4:$D$1456,"&gt;="&amp;($B129+28),Events!$D$4:$D$1456,"&lt;="&amp;($B129+37))&gt;0,1,0)</x:f>
        <x:v>0</x:v>
      </x:c>
      <x:c r="H129" s="50" t="n">
        <x:f>IF($B129&lt;='Scorecard'!$B$3-74,1,0)</x:f>
        <x:v>0</x:v>
      </x:c>
      <x:c r="I129" s="50" t="n">
        <x:f>IF(COUNTIFS(Events!$B$4:$B$1456,$A129,Events!$C$4:$C$1456,"day60_activity_observed",Events!$D$4:$D$1456,"&gt;="&amp;($B129+60),Events!$D$4:$D$1456,"&lt;="&amp;($B129+74))&gt;0,1,0)</x:f>
        <x:v>0</x:v>
      </x:c>
    </x:row>
    <x:row r="130">
      <x:c r="A130" s="50" t="str">
        <x:f>Members!A130</x:f>
        <x:v>SYN0127</x:v>
      </x:c>
      <x:c r="B130" s="51" t="n">
        <x:f>Members!B130</x:f>
        <x:v>46231</x:v>
      </x:c>
      <x:c r="C130" s="50" t="str">
        <x:f>Members!C130</x:f>
        <x:v>Direct</x:v>
      </x:c>
      <x:c r="D130" s="50" t="n">
        <x:f>IF($B130&lt;='Scorecard'!$B$3-7,1,0)</x:f>
        <x:v>1</x:v>
      </x:c>
      <x:c r="E130" s="50" t="n">
        <x:f>IF(COUNTIFS(Events!$B$4:$B$1456,$A130,Events!$C$4:$C$1456,"coach_contact_completed",Events!$D$4:$D$1456,"&gt;="&amp;($B130+0),Events!$D$4:$D$1456,"&lt;="&amp;($B130+7))&gt;0,1,0)</x:f>
        <x:v>0</x:v>
      </x:c>
      <x:c r="F130" s="50" t="n">
        <x:f>IF($B130&lt;='Scorecard'!$B$3-37,1,0)</x:f>
        <x:v>1</x:v>
      </x:c>
      <x:c r="G130" s="50" t="n">
        <x:f>IF(COUNTIFS(Events!$B$4:$B$1456,$A130,Events!$C$4:$C$1456,"day30_checkin_completed",Events!$D$4:$D$1456,"&gt;="&amp;($B130+28),Events!$D$4:$D$1456,"&lt;="&amp;($B130+37))&gt;0,1,0)</x:f>
        <x:v>1</x:v>
      </x:c>
      <x:c r="H130" s="50" t="n">
        <x:f>IF($B130&lt;='Scorecard'!$B$3-74,1,0)</x:f>
        <x:v>0</x:v>
      </x:c>
      <x:c r="I130" s="50" t="n">
        <x:f>IF(COUNTIFS(Events!$B$4:$B$1456,$A130,Events!$C$4:$C$1456,"day60_activity_observed",Events!$D$4:$D$1456,"&gt;="&amp;($B130+60),Events!$D$4:$D$1456,"&lt;="&amp;($B130+74))&gt;0,1,0)</x:f>
        <x:v>0</x:v>
      </x:c>
    </x:row>
    <x:row r="131">
      <x:c r="A131" s="50" t="str">
        <x:f>Members!A131</x:f>
        <x:v>SYN0128</x:v>
      </x:c>
      <x:c r="B131" s="51" t="n">
        <x:f>Members!B131</x:f>
        <x:v>46111</x:v>
      </x:c>
      <x:c r="C131" s="50" t="str">
        <x:f>Members!C131</x:f>
        <x:v>Direct</x:v>
      </x:c>
      <x:c r="D131" s="50" t="n">
        <x:f>IF($B131&lt;='Scorecard'!$B$3-7,1,0)</x:f>
        <x:v>1</x:v>
      </x:c>
      <x:c r="E131" s="50" t="n">
        <x:f>IF(COUNTIFS(Events!$B$4:$B$1456,$A131,Events!$C$4:$C$1456,"coach_contact_completed",Events!$D$4:$D$1456,"&gt;="&amp;($B131+0),Events!$D$4:$D$1456,"&lt;="&amp;($B131+7))&gt;0,1,0)</x:f>
        <x:v>0</x:v>
      </x:c>
      <x:c r="F131" s="50" t="n">
        <x:f>IF($B131&lt;='Scorecard'!$B$3-37,1,0)</x:f>
        <x:v>1</x:v>
      </x:c>
      <x:c r="G131" s="50" t="n">
        <x:f>IF(COUNTIFS(Events!$B$4:$B$1456,$A131,Events!$C$4:$C$1456,"day30_checkin_completed",Events!$D$4:$D$1456,"&gt;="&amp;($B131+28),Events!$D$4:$D$1456,"&lt;="&amp;($B131+37))&gt;0,1,0)</x:f>
        <x:v>1</x:v>
      </x:c>
      <x:c r="H131" s="50" t="n">
        <x:f>IF($B131&lt;='Scorecard'!$B$3-74,1,0)</x:f>
        <x:v>1</x:v>
      </x:c>
      <x:c r="I131" s="50" t="n">
        <x:f>IF(COUNTIFS(Events!$B$4:$B$1456,$A131,Events!$C$4:$C$1456,"day60_activity_observed",Events!$D$4:$D$1456,"&gt;="&amp;($B131+60),Events!$D$4:$D$1456,"&lt;="&amp;($B131+74))&gt;0,1,0)</x:f>
        <x:v>1</x:v>
      </x:c>
    </x:row>
    <x:row r="132">
      <x:c r="A132" s="50" t="str">
        <x:f>Members!A132</x:f>
        <x:v>SYN0129</x:v>
      </x:c>
      <x:c r="B132" s="51" t="n">
        <x:f>Members!B132</x:f>
        <x:v>46081</x:v>
      </x:c>
      <x:c r="C132" s="50" t="str">
        <x:f>Members!C132</x:f>
        <x:v>Employer</x:v>
      </x:c>
      <x:c r="D132" s="50" t="n">
        <x:f>IF($B132&lt;='Scorecard'!$B$3-7,1,0)</x:f>
        <x:v>1</x:v>
      </x:c>
      <x:c r="E132" s="50" t="n">
        <x:f>IF(COUNTIFS(Events!$B$4:$B$1456,$A132,Events!$C$4:$C$1456,"coach_contact_completed",Events!$D$4:$D$1456,"&gt;="&amp;($B132+0),Events!$D$4:$D$1456,"&lt;="&amp;($B132+7))&gt;0,1,0)</x:f>
        <x:v>1</x:v>
      </x:c>
      <x:c r="F132" s="50" t="n">
        <x:f>IF($B132&lt;='Scorecard'!$B$3-37,1,0)</x:f>
        <x:v>1</x:v>
      </x:c>
      <x:c r="G132" s="50" t="n">
        <x:f>IF(COUNTIFS(Events!$B$4:$B$1456,$A132,Events!$C$4:$C$1456,"day30_checkin_completed",Events!$D$4:$D$1456,"&gt;="&amp;($B132+28),Events!$D$4:$D$1456,"&lt;="&amp;($B132+37))&gt;0,1,0)</x:f>
        <x:v>1</x:v>
      </x:c>
      <x:c r="H132" s="50" t="n">
        <x:f>IF($B132&lt;='Scorecard'!$B$3-74,1,0)</x:f>
        <x:v>1</x:v>
      </x:c>
      <x:c r="I132" s="50" t="n">
        <x:f>IF(COUNTIFS(Events!$B$4:$B$1456,$A132,Events!$C$4:$C$1456,"day60_activity_observed",Events!$D$4:$D$1456,"&gt;="&amp;($B132+60),Events!$D$4:$D$1456,"&lt;="&amp;($B132+74))&gt;0,1,0)</x:f>
        <x:v>1</x:v>
      </x:c>
    </x:row>
    <x:row r="133">
      <x:c r="A133" s="50" t="str">
        <x:f>Members!A133</x:f>
        <x:v>SYN0130</x:v>
      </x:c>
      <x:c r="B133" s="51" t="n">
        <x:f>Members!B133</x:f>
        <x:v>46023</x:v>
      </x:c>
      <x:c r="C133" s="50" t="str">
        <x:f>Members!C133</x:f>
        <x:v>Employer</x:v>
      </x:c>
      <x:c r="D133" s="50" t="n">
        <x:f>IF($B133&lt;='Scorecard'!$B$3-7,1,0)</x:f>
        <x:v>1</x:v>
      </x:c>
      <x:c r="E133" s="50" t="n">
        <x:f>IF(COUNTIFS(Events!$B$4:$B$1456,$A133,Events!$C$4:$C$1456,"coach_contact_completed",Events!$D$4:$D$1456,"&gt;="&amp;($B133+0),Events!$D$4:$D$1456,"&lt;="&amp;($B133+7))&gt;0,1,0)</x:f>
        <x:v>1</x:v>
      </x:c>
      <x:c r="F133" s="50" t="n">
        <x:f>IF($B133&lt;='Scorecard'!$B$3-37,1,0)</x:f>
        <x:v>1</x:v>
      </x:c>
      <x:c r="G133" s="50" t="n">
        <x:f>IF(COUNTIFS(Events!$B$4:$B$1456,$A133,Events!$C$4:$C$1456,"day30_checkin_completed",Events!$D$4:$D$1456,"&gt;="&amp;($B133+28),Events!$D$4:$D$1456,"&lt;="&amp;($B133+37))&gt;0,1,0)</x:f>
        <x:v>0</x:v>
      </x:c>
      <x:c r="H133" s="50" t="n">
        <x:f>IF($B133&lt;='Scorecard'!$B$3-74,1,0)</x:f>
        <x:v>1</x:v>
      </x:c>
      <x:c r="I133" s="50" t="n">
        <x:f>IF(COUNTIFS(Events!$B$4:$B$1456,$A133,Events!$C$4:$C$1456,"day60_activity_observed",Events!$D$4:$D$1456,"&gt;="&amp;($B133+60),Events!$D$4:$D$1456,"&lt;="&amp;($B133+74))&gt;0,1,0)</x:f>
        <x:v>1</x:v>
      </x:c>
    </x:row>
    <x:row r="134">
      <x:c r="A134" s="50" t="str">
        <x:f>Members!A134</x:f>
        <x:v>SYN0131</x:v>
      </x:c>
      <x:c r="B134" s="51" t="n">
        <x:f>Members!B134</x:f>
        <x:v>46080</x:v>
      </x:c>
      <x:c r="C134" s="50" t="str">
        <x:f>Members!C134</x:f>
        <x:v>Employer</x:v>
      </x:c>
      <x:c r="D134" s="50" t="n">
        <x:f>IF($B134&lt;='Scorecard'!$B$3-7,1,0)</x:f>
        <x:v>1</x:v>
      </x:c>
      <x:c r="E134" s="50" t="n">
        <x:f>IF(COUNTIFS(Events!$B$4:$B$1456,$A134,Events!$C$4:$C$1456,"coach_contact_completed",Events!$D$4:$D$1456,"&gt;="&amp;($B134+0),Events!$D$4:$D$1456,"&lt;="&amp;($B134+7))&gt;0,1,0)</x:f>
        <x:v>0</x:v>
      </x:c>
      <x:c r="F134" s="50" t="n">
        <x:f>IF($B134&lt;='Scorecard'!$B$3-37,1,0)</x:f>
        <x:v>1</x:v>
      </x:c>
      <x:c r="G134" s="50" t="n">
        <x:f>IF(COUNTIFS(Events!$B$4:$B$1456,$A134,Events!$C$4:$C$1456,"day30_checkin_completed",Events!$D$4:$D$1456,"&gt;="&amp;($B134+28),Events!$D$4:$D$1456,"&lt;="&amp;($B134+37))&gt;0,1,0)</x:f>
        <x:v>0</x:v>
      </x:c>
      <x:c r="H134" s="50" t="n">
        <x:f>IF($B134&lt;='Scorecard'!$B$3-74,1,0)</x:f>
        <x:v>1</x:v>
      </x:c>
      <x:c r="I134" s="50" t="n">
        <x:f>IF(COUNTIFS(Events!$B$4:$B$1456,$A134,Events!$C$4:$C$1456,"day60_activity_observed",Events!$D$4:$D$1456,"&gt;="&amp;($B134+60),Events!$D$4:$D$1456,"&lt;="&amp;($B134+74))&gt;0,1,0)</x:f>
        <x:v>1</x:v>
      </x:c>
    </x:row>
    <x:row r="135">
      <x:c r="A135" s="50" t="str">
        <x:f>Members!A135</x:f>
        <x:v>SYN0132</x:v>
      </x:c>
      <x:c r="B135" s="51" t="n">
        <x:f>Members!B135</x:f>
        <x:v>46111</x:v>
      </x:c>
      <x:c r="C135" s="50" t="str">
        <x:f>Members!C135</x:f>
        <x:v>Employer</x:v>
      </x:c>
      <x:c r="D135" s="50" t="n">
        <x:f>IF($B135&lt;='Scorecard'!$B$3-7,1,0)</x:f>
        <x:v>1</x:v>
      </x:c>
      <x:c r="E135" s="50" t="n">
        <x:f>IF(COUNTIFS(Events!$B$4:$B$1456,$A135,Events!$C$4:$C$1456,"coach_contact_completed",Events!$D$4:$D$1456,"&gt;="&amp;($B135+0),Events!$D$4:$D$1456,"&lt;="&amp;($B135+7))&gt;0,1,0)</x:f>
        <x:v>1</x:v>
      </x:c>
      <x:c r="F135" s="50" t="n">
        <x:f>IF($B135&lt;='Scorecard'!$B$3-37,1,0)</x:f>
        <x:v>1</x:v>
      </x:c>
      <x:c r="G135" s="50" t="n">
        <x:f>IF(COUNTIFS(Events!$B$4:$B$1456,$A135,Events!$C$4:$C$1456,"day30_checkin_completed",Events!$D$4:$D$1456,"&gt;="&amp;($B135+28),Events!$D$4:$D$1456,"&lt;="&amp;($B135+37))&gt;0,1,0)</x:f>
        <x:v>1</x:v>
      </x:c>
      <x:c r="H135" s="50" t="n">
        <x:f>IF($B135&lt;='Scorecard'!$B$3-74,1,0)</x:f>
        <x:v>1</x:v>
      </x:c>
      <x:c r="I135" s="50" t="n">
        <x:f>IF(COUNTIFS(Events!$B$4:$B$1456,$A135,Events!$C$4:$C$1456,"day60_activity_observed",Events!$D$4:$D$1456,"&gt;="&amp;($B135+60),Events!$D$4:$D$1456,"&lt;="&amp;($B135+74))&gt;0,1,0)</x:f>
        <x:v>0</x:v>
      </x:c>
    </x:row>
    <x:row r="136">
      <x:c r="A136" s="50" t="str">
        <x:f>Members!A136</x:f>
        <x:v>SYN0133</x:v>
      </x:c>
      <x:c r="B136" s="51" t="n">
        <x:f>Members!B136</x:f>
        <x:v>46048</x:v>
      </x:c>
      <x:c r="C136" s="50" t="str">
        <x:f>Members!C136</x:f>
        <x:v>Employer</x:v>
      </x:c>
      <x:c r="D136" s="50" t="n">
        <x:f>IF($B136&lt;='Scorecard'!$B$3-7,1,0)</x:f>
        <x:v>1</x:v>
      </x:c>
      <x:c r="E136" s="50" t="n">
        <x:f>IF(COUNTIFS(Events!$B$4:$B$1456,$A136,Events!$C$4:$C$1456,"coach_contact_completed",Events!$D$4:$D$1456,"&gt;="&amp;($B136+0),Events!$D$4:$D$1456,"&lt;="&amp;($B136+7))&gt;0,1,0)</x:f>
        <x:v>0</x:v>
      </x:c>
      <x:c r="F136" s="50" t="n">
        <x:f>IF($B136&lt;='Scorecard'!$B$3-37,1,0)</x:f>
        <x:v>1</x:v>
      </x:c>
      <x:c r="G136" s="50" t="n">
        <x:f>IF(COUNTIFS(Events!$B$4:$B$1456,$A136,Events!$C$4:$C$1456,"day30_checkin_completed",Events!$D$4:$D$1456,"&gt;="&amp;($B136+28),Events!$D$4:$D$1456,"&lt;="&amp;($B136+37))&gt;0,1,0)</x:f>
        <x:v>1</x:v>
      </x:c>
      <x:c r="H136" s="50" t="n">
        <x:f>IF($B136&lt;='Scorecard'!$B$3-74,1,0)</x:f>
        <x:v>1</x:v>
      </x:c>
      <x:c r="I136" s="50" t="n">
        <x:f>IF(COUNTIFS(Events!$B$4:$B$1456,$A136,Events!$C$4:$C$1456,"day60_activity_observed",Events!$D$4:$D$1456,"&gt;="&amp;($B136+60),Events!$D$4:$D$1456,"&lt;="&amp;($B136+74))&gt;0,1,0)</x:f>
        <x:v>1</x:v>
      </x:c>
    </x:row>
    <x:row r="137">
      <x:c r="A137" s="50" t="str">
        <x:f>Members!A137</x:f>
        <x:v>SYN0134</x:v>
      </x:c>
      <x:c r="B137" s="51" t="n">
        <x:f>Members!B137</x:f>
        <x:v>46163</x:v>
      </x:c>
      <x:c r="C137" s="50" t="str">
        <x:f>Members!C137</x:f>
        <x:v>Direct</x:v>
      </x:c>
      <x:c r="D137" s="50" t="n">
        <x:f>IF($B137&lt;='Scorecard'!$B$3-7,1,0)</x:f>
        <x:v>1</x:v>
      </x:c>
      <x:c r="E137" s="50" t="n">
        <x:f>IF(COUNTIFS(Events!$B$4:$B$1456,$A137,Events!$C$4:$C$1456,"coach_contact_completed",Events!$D$4:$D$1456,"&gt;="&amp;($B137+0),Events!$D$4:$D$1456,"&lt;="&amp;($B137+7))&gt;0,1,0)</x:f>
        <x:v>0</x:v>
      </x:c>
      <x:c r="F137" s="50" t="n">
        <x:f>IF($B137&lt;='Scorecard'!$B$3-37,1,0)</x:f>
        <x:v>1</x:v>
      </x:c>
      <x:c r="G137" s="50" t="n">
        <x:f>IF(COUNTIFS(Events!$B$4:$B$1456,$A137,Events!$C$4:$C$1456,"day30_checkin_completed",Events!$D$4:$D$1456,"&gt;="&amp;($B137+28),Events!$D$4:$D$1456,"&lt;="&amp;($B137+37))&gt;0,1,0)</x:f>
        <x:v>1</x:v>
      </x:c>
      <x:c r="H137" s="50" t="n">
        <x:f>IF($B137&lt;='Scorecard'!$B$3-74,1,0)</x:f>
        <x:v>1</x:v>
      </x:c>
      <x:c r="I137" s="50" t="n">
        <x:f>IF(COUNTIFS(Events!$B$4:$B$1456,$A137,Events!$C$4:$C$1456,"day60_activity_observed",Events!$D$4:$D$1456,"&gt;="&amp;($B137+60),Events!$D$4:$D$1456,"&lt;="&amp;($B137+74))&gt;0,1,0)</x:f>
        <x:v>0</x:v>
      </x:c>
    </x:row>
    <x:row r="138">
      <x:c r="A138" s="50" t="str">
        <x:f>Members!A138</x:f>
        <x:v>SYN0135</x:v>
      </x:c>
      <x:c r="B138" s="51" t="n">
        <x:f>Members!B138</x:f>
        <x:v>46133</x:v>
      </x:c>
      <x:c r="C138" s="50" t="str">
        <x:f>Members!C138</x:f>
        <x:v>Direct</x:v>
      </x:c>
      <x:c r="D138" s="50" t="n">
        <x:f>IF($B138&lt;='Scorecard'!$B$3-7,1,0)</x:f>
        <x:v>1</x:v>
      </x:c>
      <x:c r="E138" s="50" t="n">
        <x:f>IF(COUNTIFS(Events!$B$4:$B$1456,$A138,Events!$C$4:$C$1456,"coach_contact_completed",Events!$D$4:$D$1456,"&gt;="&amp;($B138+0),Events!$D$4:$D$1456,"&lt;="&amp;($B138+7))&gt;0,1,0)</x:f>
        <x:v>1</x:v>
      </x:c>
      <x:c r="F138" s="50" t="n">
        <x:f>IF($B138&lt;='Scorecard'!$B$3-37,1,0)</x:f>
        <x:v>1</x:v>
      </x:c>
      <x:c r="G138" s="50" t="n">
        <x:f>IF(COUNTIFS(Events!$B$4:$B$1456,$A138,Events!$C$4:$C$1456,"day30_checkin_completed",Events!$D$4:$D$1456,"&gt;="&amp;($B138+28),Events!$D$4:$D$1456,"&lt;="&amp;($B138+37))&gt;0,1,0)</x:f>
        <x:v>1</x:v>
      </x:c>
      <x:c r="H138" s="50" t="n">
        <x:f>IF($B138&lt;='Scorecard'!$B$3-74,1,0)</x:f>
        <x:v>1</x:v>
      </x:c>
      <x:c r="I138" s="50" t="n">
        <x:f>IF(COUNTIFS(Events!$B$4:$B$1456,$A138,Events!$C$4:$C$1456,"day60_activity_observed",Events!$D$4:$D$1456,"&gt;="&amp;($B138+60),Events!$D$4:$D$1456,"&lt;="&amp;($B138+74))&gt;0,1,0)</x:f>
        <x:v>0</x:v>
      </x:c>
    </x:row>
    <x:row r="139">
      <x:c r="A139" s="50" t="str">
        <x:f>Members!A139</x:f>
        <x:v>SYN0136</x:v>
      </x:c>
      <x:c r="B139" s="51" t="n">
        <x:f>Members!B139</x:f>
        <x:v>46183</x:v>
      </x:c>
      <x:c r="C139" s="50" t="str">
        <x:f>Members!C139</x:f>
        <x:v>Direct</x:v>
      </x:c>
      <x:c r="D139" s="50" t="n">
        <x:f>IF($B139&lt;='Scorecard'!$B$3-7,1,0)</x:f>
        <x:v>1</x:v>
      </x:c>
      <x:c r="E139" s="50" t="n">
        <x:f>IF(COUNTIFS(Events!$B$4:$B$1456,$A139,Events!$C$4:$C$1456,"coach_contact_completed",Events!$D$4:$D$1456,"&gt;="&amp;($B139+0),Events!$D$4:$D$1456,"&lt;="&amp;($B139+7))&gt;0,1,0)</x:f>
        <x:v>0</x:v>
      </x:c>
      <x:c r="F139" s="50" t="n">
        <x:f>IF($B139&lt;='Scorecard'!$B$3-37,1,0)</x:f>
        <x:v>1</x:v>
      </x:c>
      <x:c r="G139" s="50" t="n">
        <x:f>IF(COUNTIFS(Events!$B$4:$B$1456,$A139,Events!$C$4:$C$1456,"day30_checkin_completed",Events!$D$4:$D$1456,"&gt;="&amp;($B139+28),Events!$D$4:$D$1456,"&lt;="&amp;($B139+37))&gt;0,1,0)</x:f>
        <x:v>1</x:v>
      </x:c>
      <x:c r="H139" s="50" t="n">
        <x:f>IF($B139&lt;='Scorecard'!$B$3-74,1,0)</x:f>
        <x:v>1</x:v>
      </x:c>
      <x:c r="I139" s="50" t="n">
        <x:f>IF(COUNTIFS(Events!$B$4:$B$1456,$A139,Events!$C$4:$C$1456,"day60_activity_observed",Events!$D$4:$D$1456,"&gt;="&amp;($B139+60),Events!$D$4:$D$1456,"&lt;="&amp;($B139+74))&gt;0,1,0)</x:f>
        <x:v>1</x:v>
      </x:c>
    </x:row>
    <x:row r="140">
      <x:c r="A140" s="50" t="str">
        <x:f>Members!A140</x:f>
        <x:v>SYN0137</x:v>
      </x:c>
      <x:c r="B140" s="51" t="n">
        <x:f>Members!B140</x:f>
        <x:v>46108</x:v>
      </x:c>
      <x:c r="C140" s="50" t="str">
        <x:f>Members!C140</x:f>
        <x:v>Direct</x:v>
      </x:c>
      <x:c r="D140" s="50" t="n">
        <x:f>IF($B140&lt;='Scorecard'!$B$3-7,1,0)</x:f>
        <x:v>1</x:v>
      </x:c>
      <x:c r="E140" s="50" t="n">
        <x:f>IF(COUNTIFS(Events!$B$4:$B$1456,$A140,Events!$C$4:$C$1456,"coach_contact_completed",Events!$D$4:$D$1456,"&gt;="&amp;($B140+0),Events!$D$4:$D$1456,"&lt;="&amp;($B140+7))&gt;0,1,0)</x:f>
        <x:v>0</x:v>
      </x:c>
      <x:c r="F140" s="50" t="n">
        <x:f>IF($B140&lt;='Scorecard'!$B$3-37,1,0)</x:f>
        <x:v>1</x:v>
      </x:c>
      <x:c r="G140" s="50" t="n">
        <x:f>IF(COUNTIFS(Events!$B$4:$B$1456,$A140,Events!$C$4:$C$1456,"day30_checkin_completed",Events!$D$4:$D$1456,"&gt;="&amp;($B140+28),Events!$D$4:$D$1456,"&lt;="&amp;($B140+37))&gt;0,1,0)</x:f>
        <x:v>0</x:v>
      </x:c>
      <x:c r="H140" s="50" t="n">
        <x:f>IF($B140&lt;='Scorecard'!$B$3-74,1,0)</x:f>
        <x:v>1</x:v>
      </x:c>
      <x:c r="I140" s="50" t="n">
        <x:f>IF(COUNTIFS(Events!$B$4:$B$1456,$A140,Events!$C$4:$C$1456,"day60_activity_observed",Events!$D$4:$D$1456,"&gt;="&amp;($B140+60),Events!$D$4:$D$1456,"&lt;="&amp;($B140+74))&gt;0,1,0)</x:f>
        <x:v>0</x:v>
      </x:c>
    </x:row>
    <x:row r="141">
      <x:c r="A141" s="50" t="str">
        <x:f>Members!A141</x:f>
        <x:v>SYN0138</x:v>
      </x:c>
      <x:c r="B141" s="51" t="n">
        <x:f>Members!B141</x:f>
        <x:v>46031</x:v>
      </x:c>
      <x:c r="C141" s="50" t="str">
        <x:f>Members!C141</x:f>
        <x:v>Direct</x:v>
      </x:c>
      <x:c r="D141" s="50" t="n">
        <x:f>IF($B141&lt;='Scorecard'!$B$3-7,1,0)</x:f>
        <x:v>1</x:v>
      </x:c>
      <x:c r="E141" s="50" t="n">
        <x:f>IF(COUNTIFS(Events!$B$4:$B$1456,$A141,Events!$C$4:$C$1456,"coach_contact_completed",Events!$D$4:$D$1456,"&gt;="&amp;($B141+0),Events!$D$4:$D$1456,"&lt;="&amp;($B141+7))&gt;0,1,0)</x:f>
        <x:v>1</x:v>
      </x:c>
      <x:c r="F141" s="50" t="n">
        <x:f>IF($B141&lt;='Scorecard'!$B$3-37,1,0)</x:f>
        <x:v>1</x:v>
      </x:c>
      <x:c r="G141" s="50" t="n">
        <x:f>IF(COUNTIFS(Events!$B$4:$B$1456,$A141,Events!$C$4:$C$1456,"day30_checkin_completed",Events!$D$4:$D$1456,"&gt;="&amp;($B141+28),Events!$D$4:$D$1456,"&lt;="&amp;($B141+37))&gt;0,1,0)</x:f>
        <x:v>1</x:v>
      </x:c>
      <x:c r="H141" s="50" t="n">
        <x:f>IF($B141&lt;='Scorecard'!$B$3-74,1,0)</x:f>
        <x:v>1</x:v>
      </x:c>
      <x:c r="I141" s="50" t="n">
        <x:f>IF(COUNTIFS(Events!$B$4:$B$1456,$A141,Events!$C$4:$C$1456,"day60_activity_observed",Events!$D$4:$D$1456,"&gt;="&amp;($B141+60),Events!$D$4:$D$1456,"&lt;="&amp;($B141+74))&gt;0,1,0)</x:f>
        <x:v>0</x:v>
      </x:c>
    </x:row>
    <x:row r="142">
      <x:c r="A142" s="50" t="str">
        <x:f>Members!A142</x:f>
        <x:v>SYN0139</x:v>
      </x:c>
      <x:c r="B142" s="51" t="n">
        <x:f>Members!B142</x:f>
        <x:v>46147</x:v>
      </x:c>
      <x:c r="C142" s="50" t="str">
        <x:f>Members!C142</x:f>
        <x:v>Direct</x:v>
      </x:c>
      <x:c r="D142" s="50" t="n">
        <x:f>IF($B142&lt;='Scorecard'!$B$3-7,1,0)</x:f>
        <x:v>1</x:v>
      </x:c>
      <x:c r="E142" s="50" t="n">
        <x:f>IF(COUNTIFS(Events!$B$4:$B$1456,$A142,Events!$C$4:$C$1456,"coach_contact_completed",Events!$D$4:$D$1456,"&gt;="&amp;($B142+0),Events!$D$4:$D$1456,"&lt;="&amp;($B142+7))&gt;0,1,0)</x:f>
        <x:v>1</x:v>
      </x:c>
      <x:c r="F142" s="50" t="n">
        <x:f>IF($B142&lt;='Scorecard'!$B$3-37,1,0)</x:f>
        <x:v>1</x:v>
      </x:c>
      <x:c r="G142" s="50" t="n">
        <x:f>IF(COUNTIFS(Events!$B$4:$B$1456,$A142,Events!$C$4:$C$1456,"day30_checkin_completed",Events!$D$4:$D$1456,"&gt;="&amp;($B142+28),Events!$D$4:$D$1456,"&lt;="&amp;($B142+37))&gt;0,1,0)</x:f>
        <x:v>1</x:v>
      </x:c>
      <x:c r="H142" s="50" t="n">
        <x:f>IF($B142&lt;='Scorecard'!$B$3-74,1,0)</x:f>
        <x:v>1</x:v>
      </x:c>
      <x:c r="I142" s="50" t="n">
        <x:f>IF(COUNTIFS(Events!$B$4:$B$1456,$A142,Events!$C$4:$C$1456,"day60_activity_observed",Events!$D$4:$D$1456,"&gt;="&amp;($B142+60),Events!$D$4:$D$1456,"&lt;="&amp;($B142+74))&gt;0,1,0)</x:f>
        <x:v>1</x:v>
      </x:c>
    </x:row>
    <x:row r="143">
      <x:c r="A143" s="50" t="str">
        <x:f>Members!A143</x:f>
        <x:v>SYN0140</x:v>
      </x:c>
      <x:c r="B143" s="51" t="n">
        <x:f>Members!B143</x:f>
        <x:v>46120</x:v>
      </x:c>
      <x:c r="C143" s="50" t="str">
        <x:f>Members!C143</x:f>
        <x:v>Direct</x:v>
      </x:c>
      <x:c r="D143" s="50" t="n">
        <x:f>IF($B143&lt;='Scorecard'!$B$3-7,1,0)</x:f>
        <x:v>1</x:v>
      </x:c>
      <x:c r="E143" s="50" t="n">
        <x:f>IF(COUNTIFS(Events!$B$4:$B$1456,$A143,Events!$C$4:$C$1456,"coach_contact_completed",Events!$D$4:$D$1456,"&gt;="&amp;($B143+0),Events!$D$4:$D$1456,"&lt;="&amp;($B143+7))&gt;0,1,0)</x:f>
        <x:v>0</x:v>
      </x:c>
      <x:c r="F143" s="50" t="n">
        <x:f>IF($B143&lt;='Scorecard'!$B$3-37,1,0)</x:f>
        <x:v>1</x:v>
      </x:c>
      <x:c r="G143" s="50" t="n">
        <x:f>IF(COUNTIFS(Events!$B$4:$B$1456,$A143,Events!$C$4:$C$1456,"day30_checkin_completed",Events!$D$4:$D$1456,"&gt;="&amp;($B143+28),Events!$D$4:$D$1456,"&lt;="&amp;($B143+37))&gt;0,1,0)</x:f>
        <x:v>1</x:v>
      </x:c>
      <x:c r="H143" s="50" t="n">
        <x:f>IF($B143&lt;='Scorecard'!$B$3-74,1,0)</x:f>
        <x:v>1</x:v>
      </x:c>
      <x:c r="I143" s="50" t="n">
        <x:f>IF(COUNTIFS(Events!$B$4:$B$1456,$A143,Events!$C$4:$C$1456,"day60_activity_observed",Events!$D$4:$D$1456,"&gt;="&amp;($B143+60),Events!$D$4:$D$1456,"&lt;="&amp;($B143+74))&gt;0,1,0)</x:f>
        <x:v>1</x:v>
      </x:c>
    </x:row>
    <x:row r="144">
      <x:c r="A144" s="50" t="str">
        <x:f>Members!A144</x:f>
        <x:v>SYN0141</x:v>
      </x:c>
      <x:c r="B144" s="51" t="n">
        <x:f>Members!B144</x:f>
        <x:v>46193</x:v>
      </x:c>
      <x:c r="C144" s="50" t="str">
        <x:f>Members!C144</x:f>
        <x:v>Direct</x:v>
      </x:c>
      <x:c r="D144" s="50" t="n">
        <x:f>IF($B144&lt;='Scorecard'!$B$3-7,1,0)</x:f>
        <x:v>1</x:v>
      </x:c>
      <x:c r="E144" s="50" t="n">
        <x:f>IF(COUNTIFS(Events!$B$4:$B$1456,$A144,Events!$C$4:$C$1456,"coach_contact_completed",Events!$D$4:$D$1456,"&gt;="&amp;($B144+0),Events!$D$4:$D$1456,"&lt;="&amp;($B144+7))&gt;0,1,0)</x:f>
        <x:v>1</x:v>
      </x:c>
      <x:c r="F144" s="50" t="n">
        <x:f>IF($B144&lt;='Scorecard'!$B$3-37,1,0)</x:f>
        <x:v>1</x:v>
      </x:c>
      <x:c r="G144" s="50" t="n">
        <x:f>IF(COUNTIFS(Events!$B$4:$B$1456,$A144,Events!$C$4:$C$1456,"day30_checkin_completed",Events!$D$4:$D$1456,"&gt;="&amp;($B144+28),Events!$D$4:$D$1456,"&lt;="&amp;($B144+37))&gt;0,1,0)</x:f>
        <x:v>0</x:v>
      </x:c>
      <x:c r="H144" s="50" t="n">
        <x:f>IF($B144&lt;='Scorecard'!$B$3-74,1,0)</x:f>
        <x:v>1</x:v>
      </x:c>
      <x:c r="I144" s="50" t="n">
        <x:f>IF(COUNTIFS(Events!$B$4:$B$1456,$A144,Events!$C$4:$C$1456,"day60_activity_observed",Events!$D$4:$D$1456,"&gt;="&amp;($B144+60),Events!$D$4:$D$1456,"&lt;="&amp;($B144+74))&gt;0,1,0)</x:f>
        <x:v>0</x:v>
      </x:c>
    </x:row>
    <x:row r="145">
      <x:c r="A145" s="50" t="str">
        <x:f>Members!A145</x:f>
        <x:v>SYN0142</x:v>
      </x:c>
      <x:c r="B145" s="51" t="n">
        <x:f>Members!B145</x:f>
        <x:v>46106</x:v>
      </x:c>
      <x:c r="C145" s="50" t="str">
        <x:f>Members!C145</x:f>
        <x:v>Employer</x:v>
      </x:c>
      <x:c r="D145" s="50" t="n">
        <x:f>IF($B145&lt;='Scorecard'!$B$3-7,1,0)</x:f>
        <x:v>1</x:v>
      </x:c>
      <x:c r="E145" s="50" t="n">
        <x:f>IF(COUNTIFS(Events!$B$4:$B$1456,$A145,Events!$C$4:$C$1456,"coach_contact_completed",Events!$D$4:$D$1456,"&gt;="&amp;($B145+0),Events!$D$4:$D$1456,"&lt;="&amp;($B145+7))&gt;0,1,0)</x:f>
        <x:v>0</x:v>
      </x:c>
      <x:c r="F145" s="50" t="n">
        <x:f>IF($B145&lt;='Scorecard'!$B$3-37,1,0)</x:f>
        <x:v>1</x:v>
      </x:c>
      <x:c r="G145" s="50" t="n">
        <x:f>IF(COUNTIFS(Events!$B$4:$B$1456,$A145,Events!$C$4:$C$1456,"day30_checkin_completed",Events!$D$4:$D$1456,"&gt;="&amp;($B145+28),Events!$D$4:$D$1456,"&lt;="&amp;($B145+37))&gt;0,1,0)</x:f>
        <x:v>1</x:v>
      </x:c>
      <x:c r="H145" s="50" t="n">
        <x:f>IF($B145&lt;='Scorecard'!$B$3-74,1,0)</x:f>
        <x:v>1</x:v>
      </x:c>
      <x:c r="I145" s="50" t="n">
        <x:f>IF(COUNTIFS(Events!$B$4:$B$1456,$A145,Events!$C$4:$C$1456,"day60_activity_observed",Events!$D$4:$D$1456,"&gt;="&amp;($B145+60),Events!$D$4:$D$1456,"&lt;="&amp;($B145+74))&gt;0,1,0)</x:f>
        <x:v>1</x:v>
      </x:c>
    </x:row>
    <x:row r="146">
      <x:c r="A146" s="50" t="str">
        <x:f>Members!A146</x:f>
        <x:v>SYN0143</x:v>
      </x:c>
      <x:c r="B146" s="51" t="n">
        <x:f>Members!B146</x:f>
        <x:v>46255</x:v>
      </x:c>
      <x:c r="C146" s="50" t="str">
        <x:f>Members!C146</x:f>
        <x:v>Direct</x:v>
      </x:c>
      <x:c r="D146" s="50" t="n">
        <x:f>IF($B146&lt;='Scorecard'!$B$3-7,1,0)</x:f>
        <x:v>1</x:v>
      </x:c>
      <x:c r="E146" s="50" t="n">
        <x:f>IF(COUNTIFS(Events!$B$4:$B$1456,$A146,Events!$C$4:$C$1456,"coach_contact_completed",Events!$D$4:$D$1456,"&gt;="&amp;($B146+0),Events!$D$4:$D$1456,"&lt;="&amp;($B146+7))&gt;0,1,0)</x:f>
        <x:v>1</x:v>
      </x:c>
      <x:c r="F146" s="50" t="n">
        <x:f>IF($B146&lt;='Scorecard'!$B$3-37,1,0)</x:f>
        <x:v>1</x:v>
      </x:c>
      <x:c r="G146" s="50" t="n">
        <x:f>IF(COUNTIFS(Events!$B$4:$B$1456,$A146,Events!$C$4:$C$1456,"day30_checkin_completed",Events!$D$4:$D$1456,"&gt;="&amp;($B146+28),Events!$D$4:$D$1456,"&lt;="&amp;($B146+37))&gt;0,1,0)</x:f>
        <x:v>1</x:v>
      </x:c>
      <x:c r="H146" s="50" t="n">
        <x:f>IF($B146&lt;='Scorecard'!$B$3-74,1,0)</x:f>
        <x:v>0</x:v>
      </x:c>
      <x:c r="I146" s="50" t="n">
        <x:f>IF(COUNTIFS(Events!$B$4:$B$1456,$A146,Events!$C$4:$C$1456,"day60_activity_observed",Events!$D$4:$D$1456,"&gt;="&amp;($B146+60),Events!$D$4:$D$1456,"&lt;="&amp;($B146+74))&gt;0,1,0)</x:f>
        <x:v>0</x:v>
      </x:c>
    </x:row>
    <x:row r="147">
      <x:c r="A147" s="50" t="str">
        <x:f>Members!A147</x:f>
        <x:v>SYN0144</x:v>
      </x:c>
      <x:c r="B147" s="51" t="n">
        <x:f>Members!B147</x:f>
        <x:v>46107</x:v>
      </x:c>
      <x:c r="C147" s="50" t="str">
        <x:f>Members!C147</x:f>
        <x:v>Direct</x:v>
      </x:c>
      <x:c r="D147" s="50" t="n">
        <x:f>IF($B147&lt;='Scorecard'!$B$3-7,1,0)</x:f>
        <x:v>1</x:v>
      </x:c>
      <x:c r="E147" s="50" t="n">
        <x:f>IF(COUNTIFS(Events!$B$4:$B$1456,$A147,Events!$C$4:$C$1456,"coach_contact_completed",Events!$D$4:$D$1456,"&gt;="&amp;($B147+0),Events!$D$4:$D$1456,"&lt;="&amp;($B147+7))&gt;0,1,0)</x:f>
        <x:v>1</x:v>
      </x:c>
      <x:c r="F147" s="50" t="n">
        <x:f>IF($B147&lt;='Scorecard'!$B$3-37,1,0)</x:f>
        <x:v>1</x:v>
      </x:c>
      <x:c r="G147" s="50" t="n">
        <x:f>IF(COUNTIFS(Events!$B$4:$B$1456,$A147,Events!$C$4:$C$1456,"day30_checkin_completed",Events!$D$4:$D$1456,"&gt;="&amp;($B147+28),Events!$D$4:$D$1456,"&lt;="&amp;($B147+37))&gt;0,1,0)</x:f>
        <x:v>1</x:v>
      </x:c>
      <x:c r="H147" s="50" t="n">
        <x:f>IF($B147&lt;='Scorecard'!$B$3-74,1,0)</x:f>
        <x:v>1</x:v>
      </x:c>
      <x:c r="I147" s="50" t="n">
        <x:f>IF(COUNTIFS(Events!$B$4:$B$1456,$A147,Events!$C$4:$C$1456,"day60_activity_observed",Events!$D$4:$D$1456,"&gt;="&amp;($B147+60),Events!$D$4:$D$1456,"&lt;="&amp;($B147+74))&gt;0,1,0)</x:f>
        <x:v>1</x:v>
      </x:c>
    </x:row>
    <x:row r="148">
      <x:c r="A148" s="50" t="str">
        <x:f>Members!A148</x:f>
        <x:v>SYN0145</x:v>
      </x:c>
      <x:c r="B148" s="51" t="n">
        <x:f>Members!B148</x:f>
        <x:v>46258</x:v>
      </x:c>
      <x:c r="C148" s="50" t="str">
        <x:f>Members!C148</x:f>
        <x:v>Direct</x:v>
      </x:c>
      <x:c r="D148" s="50" t="n">
        <x:f>IF($B148&lt;='Scorecard'!$B$3-7,1,0)</x:f>
        <x:v>1</x:v>
      </x:c>
      <x:c r="E148" s="50" t="n">
        <x:f>IF(COUNTIFS(Events!$B$4:$B$1456,$A148,Events!$C$4:$C$1456,"coach_contact_completed",Events!$D$4:$D$1456,"&gt;="&amp;($B148+0),Events!$D$4:$D$1456,"&lt;="&amp;($B148+7))&gt;0,1,0)</x:f>
        <x:v>0</x:v>
      </x:c>
      <x:c r="F148" s="50" t="n">
        <x:f>IF($B148&lt;='Scorecard'!$B$3-37,1,0)</x:f>
        <x:v>1</x:v>
      </x:c>
      <x:c r="G148" s="50" t="n">
        <x:f>IF(COUNTIFS(Events!$B$4:$B$1456,$A148,Events!$C$4:$C$1456,"day30_checkin_completed",Events!$D$4:$D$1456,"&gt;="&amp;($B148+28),Events!$D$4:$D$1456,"&lt;="&amp;($B148+37))&gt;0,1,0)</x:f>
        <x:v>0</x:v>
      </x:c>
      <x:c r="H148" s="50" t="n">
        <x:f>IF($B148&lt;='Scorecard'!$B$3-74,1,0)</x:f>
        <x:v>0</x:v>
      </x:c>
      <x:c r="I148" s="50" t="n">
        <x:f>IF(COUNTIFS(Events!$B$4:$B$1456,$A148,Events!$C$4:$C$1456,"day60_activity_observed",Events!$D$4:$D$1456,"&gt;="&amp;($B148+60),Events!$D$4:$D$1456,"&lt;="&amp;($B148+74))&gt;0,1,0)</x:f>
        <x:v>0</x:v>
      </x:c>
    </x:row>
    <x:row r="149">
      <x:c r="A149" s="50" t="str">
        <x:f>Members!A149</x:f>
        <x:v>SYN0146</x:v>
      </x:c>
      <x:c r="B149" s="51" t="n">
        <x:f>Members!B149</x:f>
        <x:v>46165</x:v>
      </x:c>
      <x:c r="C149" s="50" t="str">
        <x:f>Members!C149</x:f>
        <x:v>Direct</x:v>
      </x:c>
      <x:c r="D149" s="50" t="n">
        <x:f>IF($B149&lt;='Scorecard'!$B$3-7,1,0)</x:f>
        <x:v>1</x:v>
      </x:c>
      <x:c r="E149" s="50" t="n">
        <x:f>IF(COUNTIFS(Events!$B$4:$B$1456,$A149,Events!$C$4:$C$1456,"coach_contact_completed",Events!$D$4:$D$1456,"&gt;="&amp;($B149+0),Events!$D$4:$D$1456,"&lt;="&amp;($B149+7))&gt;0,1,0)</x:f>
        <x:v>1</x:v>
      </x:c>
      <x:c r="F149" s="50" t="n">
        <x:f>IF($B149&lt;='Scorecard'!$B$3-37,1,0)</x:f>
        <x:v>1</x:v>
      </x:c>
      <x:c r="G149" s="50" t="n">
        <x:f>IF(COUNTIFS(Events!$B$4:$B$1456,$A149,Events!$C$4:$C$1456,"day30_checkin_completed",Events!$D$4:$D$1456,"&gt;="&amp;($B149+28),Events!$D$4:$D$1456,"&lt;="&amp;($B149+37))&gt;0,1,0)</x:f>
        <x:v>1</x:v>
      </x:c>
      <x:c r="H149" s="50" t="n">
        <x:f>IF($B149&lt;='Scorecard'!$B$3-74,1,0)</x:f>
        <x:v>1</x:v>
      </x:c>
      <x:c r="I149" s="50" t="n">
        <x:f>IF(COUNTIFS(Events!$B$4:$B$1456,$A149,Events!$C$4:$C$1456,"day60_activity_observed",Events!$D$4:$D$1456,"&gt;="&amp;($B149+60),Events!$D$4:$D$1456,"&lt;="&amp;($B149+74))&gt;0,1,0)</x:f>
        <x:v>1</x:v>
      </x:c>
    </x:row>
    <x:row r="150">
      <x:c r="A150" s="50" t="str">
        <x:f>Members!A150</x:f>
        <x:v>SYN0147</x:v>
      </x:c>
      <x:c r="B150" s="51" t="n">
        <x:f>Members!B150</x:f>
        <x:v>46048</x:v>
      </x:c>
      <x:c r="C150" s="50" t="str">
        <x:f>Members!C150</x:f>
        <x:v>Direct</x:v>
      </x:c>
      <x:c r="D150" s="50" t="n">
        <x:f>IF($B150&lt;='Scorecard'!$B$3-7,1,0)</x:f>
        <x:v>1</x:v>
      </x:c>
      <x:c r="E150" s="50" t="n">
        <x:f>IF(COUNTIFS(Events!$B$4:$B$1456,$A150,Events!$C$4:$C$1456,"coach_contact_completed",Events!$D$4:$D$1456,"&gt;="&amp;($B150+0),Events!$D$4:$D$1456,"&lt;="&amp;($B150+7))&gt;0,1,0)</x:f>
        <x:v>0</x:v>
      </x:c>
      <x:c r="F150" s="50" t="n">
        <x:f>IF($B150&lt;='Scorecard'!$B$3-37,1,0)</x:f>
        <x:v>1</x:v>
      </x:c>
      <x:c r="G150" s="50" t="n">
        <x:f>IF(COUNTIFS(Events!$B$4:$B$1456,$A150,Events!$C$4:$C$1456,"day30_checkin_completed",Events!$D$4:$D$1456,"&gt;="&amp;($B150+28),Events!$D$4:$D$1456,"&lt;="&amp;($B150+37))&gt;0,1,0)</x:f>
        <x:v>1</x:v>
      </x:c>
      <x:c r="H150" s="50" t="n">
        <x:f>IF($B150&lt;='Scorecard'!$B$3-74,1,0)</x:f>
        <x:v>1</x:v>
      </x:c>
      <x:c r="I150" s="50" t="n">
        <x:f>IF(COUNTIFS(Events!$B$4:$B$1456,$A150,Events!$C$4:$C$1456,"day60_activity_observed",Events!$D$4:$D$1456,"&gt;="&amp;($B150+60),Events!$D$4:$D$1456,"&lt;="&amp;($B150+74))&gt;0,1,0)</x:f>
        <x:v>1</x:v>
      </x:c>
    </x:row>
    <x:row r="151">
      <x:c r="A151" s="50" t="str">
        <x:f>Members!A151</x:f>
        <x:v>SYN0148</x:v>
      </x:c>
      <x:c r="B151" s="51" t="n">
        <x:f>Members!B151</x:f>
        <x:v>46199</x:v>
      </x:c>
      <x:c r="C151" s="50" t="str">
        <x:f>Members!C151</x:f>
        <x:v>Direct</x:v>
      </x:c>
      <x:c r="D151" s="50" t="n">
        <x:f>IF($B151&lt;='Scorecard'!$B$3-7,1,0)</x:f>
        <x:v>1</x:v>
      </x:c>
      <x:c r="E151" s="50" t="n">
        <x:f>IF(COUNTIFS(Events!$B$4:$B$1456,$A151,Events!$C$4:$C$1456,"coach_contact_completed",Events!$D$4:$D$1456,"&gt;="&amp;($B151+0),Events!$D$4:$D$1456,"&lt;="&amp;($B151+7))&gt;0,1,0)</x:f>
        <x:v>0</x:v>
      </x:c>
      <x:c r="F151" s="50" t="n">
        <x:f>IF($B151&lt;='Scorecard'!$B$3-37,1,0)</x:f>
        <x:v>1</x:v>
      </x:c>
      <x:c r="G151" s="50" t="n">
        <x:f>IF(COUNTIFS(Events!$B$4:$B$1456,$A151,Events!$C$4:$C$1456,"day30_checkin_completed",Events!$D$4:$D$1456,"&gt;="&amp;($B151+28),Events!$D$4:$D$1456,"&lt;="&amp;($B151+37))&gt;0,1,0)</x:f>
        <x:v>1</x:v>
      </x:c>
      <x:c r="H151" s="50" t="n">
        <x:f>IF($B151&lt;='Scorecard'!$B$3-74,1,0)</x:f>
        <x:v>1</x:v>
      </x:c>
      <x:c r="I151" s="50" t="n">
        <x:f>IF(COUNTIFS(Events!$B$4:$B$1456,$A151,Events!$C$4:$C$1456,"day60_activity_observed",Events!$D$4:$D$1456,"&gt;="&amp;($B151+60),Events!$D$4:$D$1456,"&lt;="&amp;($B151+74))&gt;0,1,0)</x:f>
        <x:v>1</x:v>
      </x:c>
    </x:row>
    <x:row r="152">
      <x:c r="A152" s="50" t="str">
        <x:f>Members!A152</x:f>
        <x:v>SYN0149</x:v>
      </x:c>
      <x:c r="B152" s="51" t="n">
        <x:f>Members!B152</x:f>
        <x:v>46065</x:v>
      </x:c>
      <x:c r="C152" s="50" t="str">
        <x:f>Members!C152</x:f>
        <x:v>Direct</x:v>
      </x:c>
      <x:c r="D152" s="50" t="n">
        <x:f>IF($B152&lt;='Scorecard'!$B$3-7,1,0)</x:f>
        <x:v>1</x:v>
      </x:c>
      <x:c r="E152" s="50" t="n">
        <x:f>IF(COUNTIFS(Events!$B$4:$B$1456,$A152,Events!$C$4:$C$1456,"coach_contact_completed",Events!$D$4:$D$1456,"&gt;="&amp;($B152+0),Events!$D$4:$D$1456,"&lt;="&amp;($B152+7))&gt;0,1,0)</x:f>
        <x:v>1</x:v>
      </x:c>
      <x:c r="F152" s="50" t="n">
        <x:f>IF($B152&lt;='Scorecard'!$B$3-37,1,0)</x:f>
        <x:v>1</x:v>
      </x:c>
      <x:c r="G152" s="50" t="n">
        <x:f>IF(COUNTIFS(Events!$B$4:$B$1456,$A152,Events!$C$4:$C$1456,"day30_checkin_completed",Events!$D$4:$D$1456,"&gt;="&amp;($B152+28),Events!$D$4:$D$1456,"&lt;="&amp;($B152+37))&gt;0,1,0)</x:f>
        <x:v>1</x:v>
      </x:c>
      <x:c r="H152" s="50" t="n">
        <x:f>IF($B152&lt;='Scorecard'!$B$3-74,1,0)</x:f>
        <x:v>1</x:v>
      </x:c>
      <x:c r="I152" s="50" t="n">
        <x:f>IF(COUNTIFS(Events!$B$4:$B$1456,$A152,Events!$C$4:$C$1456,"day60_activity_observed",Events!$D$4:$D$1456,"&gt;="&amp;($B152+60),Events!$D$4:$D$1456,"&lt;="&amp;($B152+74))&gt;0,1,0)</x:f>
        <x:v>0</x:v>
      </x:c>
    </x:row>
    <x:row r="153">
      <x:c r="A153" s="50" t="str">
        <x:f>Members!A153</x:f>
        <x:v>SYN0150</x:v>
      </x:c>
      <x:c r="B153" s="51" t="n">
        <x:f>Members!B153</x:f>
        <x:v>46073</x:v>
      </x:c>
      <x:c r="C153" s="50" t="str">
        <x:f>Members!C153</x:f>
        <x:v>Direct</x:v>
      </x:c>
      <x:c r="D153" s="50" t="n">
        <x:f>IF($B153&lt;='Scorecard'!$B$3-7,1,0)</x:f>
        <x:v>1</x:v>
      </x:c>
      <x:c r="E153" s="50" t="n">
        <x:f>IF(COUNTIFS(Events!$B$4:$B$1456,$A153,Events!$C$4:$C$1456,"coach_contact_completed",Events!$D$4:$D$1456,"&gt;="&amp;($B153+0),Events!$D$4:$D$1456,"&lt;="&amp;($B153+7))&gt;0,1,0)</x:f>
        <x:v>1</x:v>
      </x:c>
      <x:c r="F153" s="50" t="n">
        <x:f>IF($B153&lt;='Scorecard'!$B$3-37,1,0)</x:f>
        <x:v>1</x:v>
      </x:c>
      <x:c r="G153" s="50" t="n">
        <x:f>IF(COUNTIFS(Events!$B$4:$B$1456,$A153,Events!$C$4:$C$1456,"day30_checkin_completed",Events!$D$4:$D$1456,"&gt;="&amp;($B153+28),Events!$D$4:$D$1456,"&lt;="&amp;($B153+37))&gt;0,1,0)</x:f>
        <x:v>1</x:v>
      </x:c>
      <x:c r="H153" s="50" t="n">
        <x:f>IF($B153&lt;='Scorecard'!$B$3-74,1,0)</x:f>
        <x:v>1</x:v>
      </x:c>
      <x:c r="I153" s="50" t="n">
        <x:f>IF(COUNTIFS(Events!$B$4:$B$1456,$A153,Events!$C$4:$C$1456,"day60_activity_observed",Events!$D$4:$D$1456,"&gt;="&amp;($B153+60),Events!$D$4:$D$1456,"&lt;="&amp;($B153+74))&gt;0,1,0)</x:f>
        <x:v>1</x:v>
      </x:c>
    </x:row>
    <x:row r="154">
      <x:c r="A154" s="50" t="str">
        <x:f>Members!A154</x:f>
        <x:v>SYN0151</x:v>
      </x:c>
      <x:c r="B154" s="51" t="n">
        <x:f>Members!B154</x:f>
        <x:v>46143</x:v>
      </x:c>
      <x:c r="C154" s="50" t="str">
        <x:f>Members!C154</x:f>
        <x:v>Employer</x:v>
      </x:c>
      <x:c r="D154" s="50" t="n">
        <x:f>IF($B154&lt;='Scorecard'!$B$3-7,1,0)</x:f>
        <x:v>1</x:v>
      </x:c>
      <x:c r="E154" s="50" t="n">
        <x:f>IF(COUNTIFS(Events!$B$4:$B$1456,$A154,Events!$C$4:$C$1456,"coach_contact_completed",Events!$D$4:$D$1456,"&gt;="&amp;($B154+0),Events!$D$4:$D$1456,"&lt;="&amp;($B154+7))&gt;0,1,0)</x:f>
        <x:v>1</x:v>
      </x:c>
      <x:c r="F154" s="50" t="n">
        <x:f>IF($B154&lt;='Scorecard'!$B$3-37,1,0)</x:f>
        <x:v>1</x:v>
      </x:c>
      <x:c r="G154" s="50" t="n">
        <x:f>IF(COUNTIFS(Events!$B$4:$B$1456,$A154,Events!$C$4:$C$1456,"day30_checkin_completed",Events!$D$4:$D$1456,"&gt;="&amp;($B154+28),Events!$D$4:$D$1456,"&lt;="&amp;($B154+37))&gt;0,1,0)</x:f>
        <x:v>0</x:v>
      </x:c>
      <x:c r="H154" s="50" t="n">
        <x:f>IF($B154&lt;='Scorecard'!$B$3-74,1,0)</x:f>
        <x:v>1</x:v>
      </x:c>
      <x:c r="I154" s="50" t="n">
        <x:f>IF(COUNTIFS(Events!$B$4:$B$1456,$A154,Events!$C$4:$C$1456,"day60_activity_observed",Events!$D$4:$D$1456,"&gt;="&amp;($B154+60),Events!$D$4:$D$1456,"&lt;="&amp;($B154+74))&gt;0,1,0)</x:f>
        <x:v>1</x:v>
      </x:c>
    </x:row>
    <x:row r="155">
      <x:c r="A155" s="50" t="str">
        <x:f>Members!A155</x:f>
        <x:v>SYN0152</x:v>
      </x:c>
      <x:c r="B155" s="51" t="n">
        <x:f>Members!B155</x:f>
        <x:v>46135</x:v>
      </x:c>
      <x:c r="C155" s="50" t="str">
        <x:f>Members!C155</x:f>
        <x:v>Employer</x:v>
      </x:c>
      <x:c r="D155" s="50" t="n">
        <x:f>IF($B155&lt;='Scorecard'!$B$3-7,1,0)</x:f>
        <x:v>1</x:v>
      </x:c>
      <x:c r="E155" s="50" t="n">
        <x:f>IF(COUNTIFS(Events!$B$4:$B$1456,$A155,Events!$C$4:$C$1456,"coach_contact_completed",Events!$D$4:$D$1456,"&gt;="&amp;($B155+0),Events!$D$4:$D$1456,"&lt;="&amp;($B155+7))&gt;0,1,0)</x:f>
        <x:v>1</x:v>
      </x:c>
      <x:c r="F155" s="50" t="n">
        <x:f>IF($B155&lt;='Scorecard'!$B$3-37,1,0)</x:f>
        <x:v>1</x:v>
      </x:c>
      <x:c r="G155" s="50" t="n">
        <x:f>IF(COUNTIFS(Events!$B$4:$B$1456,$A155,Events!$C$4:$C$1456,"day30_checkin_completed",Events!$D$4:$D$1456,"&gt;="&amp;($B155+28),Events!$D$4:$D$1456,"&lt;="&amp;($B155+37))&gt;0,1,0)</x:f>
        <x:v>1</x:v>
      </x:c>
      <x:c r="H155" s="50" t="n">
        <x:f>IF($B155&lt;='Scorecard'!$B$3-74,1,0)</x:f>
        <x:v>1</x:v>
      </x:c>
      <x:c r="I155" s="50" t="n">
        <x:f>IF(COUNTIFS(Events!$B$4:$B$1456,$A155,Events!$C$4:$C$1456,"day60_activity_observed",Events!$D$4:$D$1456,"&gt;="&amp;($B155+60),Events!$D$4:$D$1456,"&lt;="&amp;($B155+74))&gt;0,1,0)</x:f>
        <x:v>0</x:v>
      </x:c>
    </x:row>
    <x:row r="156">
      <x:c r="A156" s="50" t="str">
        <x:f>Members!A156</x:f>
        <x:v>SYN0153</x:v>
      </x:c>
      <x:c r="B156" s="51" t="n">
        <x:f>Members!B156</x:f>
        <x:v>46225</x:v>
      </x:c>
      <x:c r="C156" s="50" t="str">
        <x:f>Members!C156</x:f>
        <x:v>Direct</x:v>
      </x:c>
      <x:c r="D156" s="50" t="n">
        <x:f>IF($B156&lt;='Scorecard'!$B$3-7,1,0)</x:f>
        <x:v>1</x:v>
      </x:c>
      <x:c r="E156" s="50" t="n">
        <x:f>IF(COUNTIFS(Events!$B$4:$B$1456,$A156,Events!$C$4:$C$1456,"coach_contact_completed",Events!$D$4:$D$1456,"&gt;="&amp;($B156+0),Events!$D$4:$D$1456,"&lt;="&amp;($B156+7))&gt;0,1,0)</x:f>
        <x:v>1</x:v>
      </x:c>
      <x:c r="F156" s="50" t="n">
        <x:f>IF($B156&lt;='Scorecard'!$B$3-37,1,0)</x:f>
        <x:v>1</x:v>
      </x:c>
      <x:c r="G156" s="50" t="n">
        <x:f>IF(COUNTIFS(Events!$B$4:$B$1456,$A156,Events!$C$4:$C$1456,"day30_checkin_completed",Events!$D$4:$D$1456,"&gt;="&amp;($B156+28),Events!$D$4:$D$1456,"&lt;="&amp;($B156+37))&gt;0,1,0)</x:f>
        <x:v>1</x:v>
      </x:c>
      <x:c r="H156" s="50" t="n">
        <x:f>IF($B156&lt;='Scorecard'!$B$3-74,1,0)</x:f>
        <x:v>0</x:v>
      </x:c>
      <x:c r="I156" s="50" t="n">
        <x:f>IF(COUNTIFS(Events!$B$4:$B$1456,$A156,Events!$C$4:$C$1456,"day60_activity_observed",Events!$D$4:$D$1456,"&gt;="&amp;($B156+60),Events!$D$4:$D$1456,"&lt;="&amp;($B156+74))&gt;0,1,0)</x:f>
        <x:v>1</x:v>
      </x:c>
    </x:row>
    <x:row r="157">
      <x:c r="A157" s="50" t="str">
        <x:f>Members!A157</x:f>
        <x:v>SYN0154</x:v>
      </x:c>
      <x:c r="B157" s="51" t="n">
        <x:f>Members!B157</x:f>
        <x:v>46185</x:v>
      </x:c>
      <x:c r="C157" s="50" t="str">
        <x:f>Members!C157</x:f>
        <x:v>Direct</x:v>
      </x:c>
      <x:c r="D157" s="50" t="n">
        <x:f>IF($B157&lt;='Scorecard'!$B$3-7,1,0)</x:f>
        <x:v>1</x:v>
      </x:c>
      <x:c r="E157" s="50" t="n">
        <x:f>IF(COUNTIFS(Events!$B$4:$B$1456,$A157,Events!$C$4:$C$1456,"coach_contact_completed",Events!$D$4:$D$1456,"&gt;="&amp;($B157+0),Events!$D$4:$D$1456,"&lt;="&amp;($B157+7))&gt;0,1,0)</x:f>
        <x:v>0</x:v>
      </x:c>
      <x:c r="F157" s="50" t="n">
        <x:f>IF($B157&lt;='Scorecard'!$B$3-37,1,0)</x:f>
        <x:v>1</x:v>
      </x:c>
      <x:c r="G157" s="50" t="n">
        <x:f>IF(COUNTIFS(Events!$B$4:$B$1456,$A157,Events!$C$4:$C$1456,"day30_checkin_completed",Events!$D$4:$D$1456,"&gt;="&amp;($B157+28),Events!$D$4:$D$1456,"&lt;="&amp;($B157+37))&gt;0,1,0)</x:f>
        <x:v>1</x:v>
      </x:c>
      <x:c r="H157" s="50" t="n">
        <x:f>IF($B157&lt;='Scorecard'!$B$3-74,1,0)</x:f>
        <x:v>1</x:v>
      </x:c>
      <x:c r="I157" s="50" t="n">
        <x:f>IF(COUNTIFS(Events!$B$4:$B$1456,$A157,Events!$C$4:$C$1456,"day60_activity_observed",Events!$D$4:$D$1456,"&gt;="&amp;($B157+60),Events!$D$4:$D$1456,"&lt;="&amp;($B157+74))&gt;0,1,0)</x:f>
        <x:v>0</x:v>
      </x:c>
    </x:row>
    <x:row r="158">
      <x:c r="A158" s="50" t="str">
        <x:f>Members!A158</x:f>
        <x:v>SYN0155</x:v>
      </x:c>
      <x:c r="B158" s="51" t="n">
        <x:f>Members!B158</x:f>
        <x:v>46239</x:v>
      </x:c>
      <x:c r="C158" s="50" t="str">
        <x:f>Members!C158</x:f>
        <x:v>Direct</x:v>
      </x:c>
      <x:c r="D158" s="50" t="n">
        <x:f>IF($B158&lt;='Scorecard'!$B$3-7,1,0)</x:f>
        <x:v>1</x:v>
      </x:c>
      <x:c r="E158" s="50" t="n">
        <x:f>IF(COUNTIFS(Events!$B$4:$B$1456,$A158,Events!$C$4:$C$1456,"coach_contact_completed",Events!$D$4:$D$1456,"&gt;="&amp;($B158+0),Events!$D$4:$D$1456,"&lt;="&amp;($B158+7))&gt;0,1,0)</x:f>
        <x:v>0</x:v>
      </x:c>
      <x:c r="F158" s="50" t="n">
        <x:f>IF($B158&lt;='Scorecard'!$B$3-37,1,0)</x:f>
        <x:v>1</x:v>
      </x:c>
      <x:c r="G158" s="50" t="n">
        <x:f>IF(COUNTIFS(Events!$B$4:$B$1456,$A158,Events!$C$4:$C$1456,"day30_checkin_completed",Events!$D$4:$D$1456,"&gt;="&amp;($B158+28),Events!$D$4:$D$1456,"&lt;="&amp;($B158+37))&gt;0,1,0)</x:f>
        <x:v>1</x:v>
      </x:c>
      <x:c r="H158" s="50" t="n">
        <x:f>IF($B158&lt;='Scorecard'!$B$3-74,1,0)</x:f>
        <x:v>0</x:v>
      </x:c>
      <x:c r="I158" s="50" t="n">
        <x:f>IF(COUNTIFS(Events!$B$4:$B$1456,$A158,Events!$C$4:$C$1456,"day60_activity_observed",Events!$D$4:$D$1456,"&gt;="&amp;($B158+60),Events!$D$4:$D$1456,"&lt;="&amp;($B158+74))&gt;0,1,0)</x:f>
        <x:v>0</x:v>
      </x:c>
    </x:row>
    <x:row r="159">
      <x:c r="A159" s="50" t="str">
        <x:f>Members!A159</x:f>
        <x:v>SYN0156</x:v>
      </x:c>
      <x:c r="B159" s="51" t="n">
        <x:f>Members!B159</x:f>
        <x:v>46151</x:v>
      </x:c>
      <x:c r="C159" s="50" t="str">
        <x:f>Members!C159</x:f>
        <x:v>Employer</x:v>
      </x:c>
      <x:c r="D159" s="50" t="n">
        <x:f>IF($B159&lt;='Scorecard'!$B$3-7,1,0)</x:f>
        <x:v>1</x:v>
      </x:c>
      <x:c r="E159" s="50" t="n">
        <x:f>IF(COUNTIFS(Events!$B$4:$B$1456,$A159,Events!$C$4:$C$1456,"coach_contact_completed",Events!$D$4:$D$1456,"&gt;="&amp;($B159+0),Events!$D$4:$D$1456,"&lt;="&amp;($B159+7))&gt;0,1,0)</x:f>
        <x:v>1</x:v>
      </x:c>
      <x:c r="F159" s="50" t="n">
        <x:f>IF($B159&lt;='Scorecard'!$B$3-37,1,0)</x:f>
        <x:v>1</x:v>
      </x:c>
      <x:c r="G159" s="50" t="n">
        <x:f>IF(COUNTIFS(Events!$B$4:$B$1456,$A159,Events!$C$4:$C$1456,"day30_checkin_completed",Events!$D$4:$D$1456,"&gt;="&amp;($B159+28),Events!$D$4:$D$1456,"&lt;="&amp;($B159+37))&gt;0,1,0)</x:f>
        <x:v>0</x:v>
      </x:c>
      <x:c r="H159" s="50" t="n">
        <x:f>IF($B159&lt;='Scorecard'!$B$3-74,1,0)</x:f>
        <x:v>1</x:v>
      </x:c>
      <x:c r="I159" s="50" t="n">
        <x:f>IF(COUNTIFS(Events!$B$4:$B$1456,$A159,Events!$C$4:$C$1456,"day60_activity_observed",Events!$D$4:$D$1456,"&gt;="&amp;($B159+60),Events!$D$4:$D$1456,"&lt;="&amp;($B159+74))&gt;0,1,0)</x:f>
        <x:v>1</x:v>
      </x:c>
    </x:row>
    <x:row r="160">
      <x:c r="A160" s="50" t="str">
        <x:f>Members!A160</x:f>
        <x:v>SYN0157</x:v>
      </x:c>
      <x:c r="B160" s="51" t="n">
        <x:f>Members!B160</x:f>
        <x:v>46176</x:v>
      </x:c>
      <x:c r="C160" s="50" t="str">
        <x:f>Members!C160</x:f>
        <x:v>Direct</x:v>
      </x:c>
      <x:c r="D160" s="50" t="n">
        <x:f>IF($B160&lt;='Scorecard'!$B$3-7,1,0)</x:f>
        <x:v>1</x:v>
      </x:c>
      <x:c r="E160" s="50" t="n">
        <x:f>IF(COUNTIFS(Events!$B$4:$B$1456,$A160,Events!$C$4:$C$1456,"coach_contact_completed",Events!$D$4:$D$1456,"&gt;="&amp;($B160+0),Events!$D$4:$D$1456,"&lt;="&amp;($B160+7))&gt;0,1,0)</x:f>
        <x:v>0</x:v>
      </x:c>
      <x:c r="F160" s="50" t="n">
        <x:f>IF($B160&lt;='Scorecard'!$B$3-37,1,0)</x:f>
        <x:v>1</x:v>
      </x:c>
      <x:c r="G160" s="50" t="n">
        <x:f>IF(COUNTIFS(Events!$B$4:$B$1456,$A160,Events!$C$4:$C$1456,"day30_checkin_completed",Events!$D$4:$D$1456,"&gt;="&amp;($B160+28),Events!$D$4:$D$1456,"&lt;="&amp;($B160+37))&gt;0,1,0)</x:f>
        <x:v>0</x:v>
      </x:c>
      <x:c r="H160" s="50" t="n">
        <x:f>IF($B160&lt;='Scorecard'!$B$3-74,1,0)</x:f>
        <x:v>1</x:v>
      </x:c>
      <x:c r="I160" s="50" t="n">
        <x:f>IF(COUNTIFS(Events!$B$4:$B$1456,$A160,Events!$C$4:$C$1456,"day60_activity_observed",Events!$D$4:$D$1456,"&gt;="&amp;($B160+60),Events!$D$4:$D$1456,"&lt;="&amp;($B160+74))&gt;0,1,0)</x:f>
        <x:v>1</x:v>
      </x:c>
    </x:row>
    <x:row r="161">
      <x:c r="A161" s="50" t="str">
        <x:f>Members!A161</x:f>
        <x:v>SYN0158</x:v>
      </x:c>
      <x:c r="B161" s="51" t="n">
        <x:f>Members!B161</x:f>
        <x:v>46196</x:v>
      </x:c>
      <x:c r="C161" s="50" t="str">
        <x:f>Members!C161</x:f>
        <x:v>Employer</x:v>
      </x:c>
      <x:c r="D161" s="50" t="n">
        <x:f>IF($B161&lt;='Scorecard'!$B$3-7,1,0)</x:f>
        <x:v>1</x:v>
      </x:c>
      <x:c r="E161" s="50" t="n">
        <x:f>IF(COUNTIFS(Events!$B$4:$B$1456,$A161,Events!$C$4:$C$1456,"coach_contact_completed",Events!$D$4:$D$1456,"&gt;="&amp;($B161+0),Events!$D$4:$D$1456,"&lt;="&amp;($B161+7))&gt;0,1,0)</x:f>
        <x:v>1</x:v>
      </x:c>
      <x:c r="F161" s="50" t="n">
        <x:f>IF($B161&lt;='Scorecard'!$B$3-37,1,0)</x:f>
        <x:v>1</x:v>
      </x:c>
      <x:c r="G161" s="50" t="n">
        <x:f>IF(COUNTIFS(Events!$B$4:$B$1456,$A161,Events!$C$4:$C$1456,"day30_checkin_completed",Events!$D$4:$D$1456,"&gt;="&amp;($B161+28),Events!$D$4:$D$1456,"&lt;="&amp;($B161+37))&gt;0,1,0)</x:f>
        <x:v>0</x:v>
      </x:c>
      <x:c r="H161" s="50" t="n">
        <x:f>IF($B161&lt;='Scorecard'!$B$3-74,1,0)</x:f>
        <x:v>1</x:v>
      </x:c>
      <x:c r="I161" s="50" t="n">
        <x:f>IF(COUNTIFS(Events!$B$4:$B$1456,$A161,Events!$C$4:$C$1456,"day60_activity_observed",Events!$D$4:$D$1456,"&gt;="&amp;($B161+60),Events!$D$4:$D$1456,"&lt;="&amp;($B161+74))&gt;0,1,0)</x:f>
        <x:v>1</x:v>
      </x:c>
    </x:row>
    <x:row r="162">
      <x:c r="A162" s="50" t="str">
        <x:f>Members!A162</x:f>
        <x:v>SYN0159</x:v>
      </x:c>
      <x:c r="B162" s="51" t="n">
        <x:f>Members!B162</x:f>
        <x:v>46095</x:v>
      </x:c>
      <x:c r="C162" s="50" t="str">
        <x:f>Members!C162</x:f>
        <x:v>Employer</x:v>
      </x:c>
      <x:c r="D162" s="50" t="n">
        <x:f>IF($B162&lt;='Scorecard'!$B$3-7,1,0)</x:f>
        <x:v>1</x:v>
      </x:c>
      <x:c r="E162" s="50" t="n">
        <x:f>IF(COUNTIFS(Events!$B$4:$B$1456,$A162,Events!$C$4:$C$1456,"coach_contact_completed",Events!$D$4:$D$1456,"&gt;="&amp;($B162+0),Events!$D$4:$D$1456,"&lt;="&amp;($B162+7))&gt;0,1,0)</x:f>
        <x:v>0</x:v>
      </x:c>
      <x:c r="F162" s="50" t="n">
        <x:f>IF($B162&lt;='Scorecard'!$B$3-37,1,0)</x:f>
        <x:v>1</x:v>
      </x:c>
      <x:c r="G162" s="50" t="n">
        <x:f>IF(COUNTIFS(Events!$B$4:$B$1456,$A162,Events!$C$4:$C$1456,"day30_checkin_completed",Events!$D$4:$D$1456,"&gt;="&amp;($B162+28),Events!$D$4:$D$1456,"&lt;="&amp;($B162+37))&gt;0,1,0)</x:f>
        <x:v>1</x:v>
      </x:c>
      <x:c r="H162" s="50" t="n">
        <x:f>IF($B162&lt;='Scorecard'!$B$3-74,1,0)</x:f>
        <x:v>1</x:v>
      </x:c>
      <x:c r="I162" s="50" t="n">
        <x:f>IF(COUNTIFS(Events!$B$4:$B$1456,$A162,Events!$C$4:$C$1456,"day60_activity_observed",Events!$D$4:$D$1456,"&gt;="&amp;($B162+60),Events!$D$4:$D$1456,"&lt;="&amp;($B162+74))&gt;0,1,0)</x:f>
        <x:v>1</x:v>
      </x:c>
    </x:row>
    <x:row r="163">
      <x:c r="A163" s="50" t="str">
        <x:f>Members!A163</x:f>
        <x:v>SYN0160</x:v>
      </x:c>
      <x:c r="B163" s="51" t="n">
        <x:f>Members!B163</x:f>
        <x:v>46182</x:v>
      </x:c>
      <x:c r="C163" s="50" t="str">
        <x:f>Members!C163</x:f>
        <x:v>Direct</x:v>
      </x:c>
      <x:c r="D163" s="50" t="n">
        <x:f>IF($B163&lt;='Scorecard'!$B$3-7,1,0)</x:f>
        <x:v>1</x:v>
      </x:c>
      <x:c r="E163" s="50" t="n">
        <x:f>IF(COUNTIFS(Events!$B$4:$B$1456,$A163,Events!$C$4:$C$1456,"coach_contact_completed",Events!$D$4:$D$1456,"&gt;="&amp;($B163+0),Events!$D$4:$D$1456,"&lt;="&amp;($B163+7))&gt;0,1,0)</x:f>
        <x:v>1</x:v>
      </x:c>
      <x:c r="F163" s="50" t="n">
        <x:f>IF($B163&lt;='Scorecard'!$B$3-37,1,0)</x:f>
        <x:v>1</x:v>
      </x:c>
      <x:c r="G163" s="50" t="n">
        <x:f>IF(COUNTIFS(Events!$B$4:$B$1456,$A163,Events!$C$4:$C$1456,"day30_checkin_completed",Events!$D$4:$D$1456,"&gt;="&amp;($B163+28),Events!$D$4:$D$1456,"&lt;="&amp;($B163+37))&gt;0,1,0)</x:f>
        <x:v>0</x:v>
      </x:c>
      <x:c r="H163" s="50" t="n">
        <x:f>IF($B163&lt;='Scorecard'!$B$3-74,1,0)</x:f>
        <x:v>1</x:v>
      </x:c>
      <x:c r="I163" s="50" t="n">
        <x:f>IF(COUNTIFS(Events!$B$4:$B$1456,$A163,Events!$C$4:$C$1456,"day60_activity_observed",Events!$D$4:$D$1456,"&gt;="&amp;($B163+60),Events!$D$4:$D$1456,"&lt;="&amp;($B163+74))&gt;0,1,0)</x:f>
        <x:v>1</x:v>
      </x:c>
    </x:row>
    <x:row r="164">
      <x:c r="A164" s="50" t="str">
        <x:f>Members!A164</x:f>
        <x:v>SYN0161</x:v>
      </x:c>
      <x:c r="B164" s="51" t="n">
        <x:f>Members!B164</x:f>
        <x:v>46221</x:v>
      </x:c>
      <x:c r="C164" s="50" t="str">
        <x:f>Members!C164</x:f>
        <x:v>Employer</x:v>
      </x:c>
      <x:c r="D164" s="50" t="n">
        <x:f>IF($B164&lt;='Scorecard'!$B$3-7,1,0)</x:f>
        <x:v>1</x:v>
      </x:c>
      <x:c r="E164" s="50" t="n">
        <x:f>IF(COUNTIFS(Events!$B$4:$B$1456,$A164,Events!$C$4:$C$1456,"coach_contact_completed",Events!$D$4:$D$1456,"&gt;="&amp;($B164+0),Events!$D$4:$D$1456,"&lt;="&amp;($B164+7))&gt;0,1,0)</x:f>
        <x:v>0</x:v>
      </x:c>
      <x:c r="F164" s="50" t="n">
        <x:f>IF($B164&lt;='Scorecard'!$B$3-37,1,0)</x:f>
        <x:v>1</x:v>
      </x:c>
      <x:c r="G164" s="50" t="n">
        <x:f>IF(COUNTIFS(Events!$B$4:$B$1456,$A164,Events!$C$4:$C$1456,"day30_checkin_completed",Events!$D$4:$D$1456,"&gt;="&amp;($B164+28),Events!$D$4:$D$1456,"&lt;="&amp;($B164+37))&gt;0,1,0)</x:f>
        <x:v>1</x:v>
      </x:c>
      <x:c r="H164" s="50" t="n">
        <x:f>IF($B164&lt;='Scorecard'!$B$3-74,1,0)</x:f>
        <x:v>1</x:v>
      </x:c>
      <x:c r="I164" s="50" t="n">
        <x:f>IF(COUNTIFS(Events!$B$4:$B$1456,$A164,Events!$C$4:$C$1456,"day60_activity_observed",Events!$D$4:$D$1456,"&gt;="&amp;($B164+60),Events!$D$4:$D$1456,"&lt;="&amp;($B164+74))&gt;0,1,0)</x:f>
        <x:v>1</x:v>
      </x:c>
    </x:row>
    <x:row r="165">
      <x:c r="A165" s="50" t="str">
        <x:f>Members!A165</x:f>
        <x:v>SYN0162</x:v>
      </x:c>
      <x:c r="B165" s="51" t="n">
        <x:f>Members!B165</x:f>
        <x:v>46156</x:v>
      </x:c>
      <x:c r="C165" s="50" t="str">
        <x:f>Members!C165</x:f>
        <x:v>Direct</x:v>
      </x:c>
      <x:c r="D165" s="50" t="n">
        <x:f>IF($B165&lt;='Scorecard'!$B$3-7,1,0)</x:f>
        <x:v>1</x:v>
      </x:c>
      <x:c r="E165" s="50" t="n">
        <x:f>IF(COUNTIFS(Events!$B$4:$B$1456,$A165,Events!$C$4:$C$1456,"coach_contact_completed",Events!$D$4:$D$1456,"&gt;="&amp;($B165+0),Events!$D$4:$D$1456,"&lt;="&amp;($B165+7))&gt;0,1,0)</x:f>
        <x:v>0</x:v>
      </x:c>
      <x:c r="F165" s="50" t="n">
        <x:f>IF($B165&lt;='Scorecard'!$B$3-37,1,0)</x:f>
        <x:v>1</x:v>
      </x:c>
      <x:c r="G165" s="50" t="n">
        <x:f>IF(COUNTIFS(Events!$B$4:$B$1456,$A165,Events!$C$4:$C$1456,"day30_checkin_completed",Events!$D$4:$D$1456,"&gt;="&amp;($B165+28),Events!$D$4:$D$1456,"&lt;="&amp;($B165+37))&gt;0,1,0)</x:f>
        <x:v>1</x:v>
      </x:c>
      <x:c r="H165" s="50" t="n">
        <x:f>IF($B165&lt;='Scorecard'!$B$3-74,1,0)</x:f>
        <x:v>1</x:v>
      </x:c>
      <x:c r="I165" s="50" t="n">
        <x:f>IF(COUNTIFS(Events!$B$4:$B$1456,$A165,Events!$C$4:$C$1456,"day60_activity_observed",Events!$D$4:$D$1456,"&gt;="&amp;($B165+60),Events!$D$4:$D$1456,"&lt;="&amp;($B165+74))&gt;0,1,0)</x:f>
        <x:v>1</x:v>
      </x:c>
    </x:row>
    <x:row r="166">
      <x:c r="A166" s="50" t="str">
        <x:f>Members!A166</x:f>
        <x:v>SYN0163</x:v>
      </x:c>
      <x:c r="B166" s="51" t="n">
        <x:f>Members!B166</x:f>
        <x:v>46057</x:v>
      </x:c>
      <x:c r="C166" s="50" t="str">
        <x:f>Members!C166</x:f>
        <x:v>Direct</x:v>
      </x:c>
      <x:c r="D166" s="50" t="n">
        <x:f>IF($B166&lt;='Scorecard'!$B$3-7,1,0)</x:f>
        <x:v>1</x:v>
      </x:c>
      <x:c r="E166" s="50" t="n">
        <x:f>IF(COUNTIFS(Events!$B$4:$B$1456,$A166,Events!$C$4:$C$1456,"coach_contact_completed",Events!$D$4:$D$1456,"&gt;="&amp;($B166+0),Events!$D$4:$D$1456,"&lt;="&amp;($B166+7))&gt;0,1,0)</x:f>
        <x:v>1</x:v>
      </x:c>
      <x:c r="F166" s="50" t="n">
        <x:f>IF($B166&lt;='Scorecard'!$B$3-37,1,0)</x:f>
        <x:v>1</x:v>
      </x:c>
      <x:c r="G166" s="50" t="n">
        <x:f>IF(COUNTIFS(Events!$B$4:$B$1456,$A166,Events!$C$4:$C$1456,"day30_checkin_completed",Events!$D$4:$D$1456,"&gt;="&amp;($B166+28),Events!$D$4:$D$1456,"&lt;="&amp;($B166+37))&gt;0,1,0)</x:f>
        <x:v>1</x:v>
      </x:c>
      <x:c r="H166" s="50" t="n">
        <x:f>IF($B166&lt;='Scorecard'!$B$3-74,1,0)</x:f>
        <x:v>1</x:v>
      </x:c>
      <x:c r="I166" s="50" t="n">
        <x:f>IF(COUNTIFS(Events!$B$4:$B$1456,$A166,Events!$C$4:$C$1456,"day60_activity_observed",Events!$D$4:$D$1456,"&gt;="&amp;($B166+60),Events!$D$4:$D$1456,"&lt;="&amp;($B166+74))&gt;0,1,0)</x:f>
        <x:v>1</x:v>
      </x:c>
    </x:row>
    <x:row r="167">
      <x:c r="A167" s="50" t="str">
        <x:f>Members!A167</x:f>
        <x:v>SYN0164</x:v>
      </x:c>
      <x:c r="B167" s="51" t="n">
        <x:f>Members!B167</x:f>
        <x:v>46065</x:v>
      </x:c>
      <x:c r="C167" s="50" t="str">
        <x:f>Members!C167</x:f>
        <x:v>Direct</x:v>
      </x:c>
      <x:c r="D167" s="50" t="n">
        <x:f>IF($B167&lt;='Scorecard'!$B$3-7,1,0)</x:f>
        <x:v>1</x:v>
      </x:c>
      <x:c r="E167" s="50" t="n">
        <x:f>IF(COUNTIFS(Events!$B$4:$B$1456,$A167,Events!$C$4:$C$1456,"coach_contact_completed",Events!$D$4:$D$1456,"&gt;="&amp;($B167+0),Events!$D$4:$D$1456,"&lt;="&amp;($B167+7))&gt;0,1,0)</x:f>
        <x:v>1</x:v>
      </x:c>
      <x:c r="F167" s="50" t="n">
        <x:f>IF($B167&lt;='Scorecard'!$B$3-37,1,0)</x:f>
        <x:v>1</x:v>
      </x:c>
      <x:c r="G167" s="50" t="n">
        <x:f>IF(COUNTIFS(Events!$B$4:$B$1456,$A167,Events!$C$4:$C$1456,"day30_checkin_completed",Events!$D$4:$D$1456,"&gt;="&amp;($B167+28),Events!$D$4:$D$1456,"&lt;="&amp;($B167+37))&gt;0,1,0)</x:f>
        <x:v>0</x:v>
      </x:c>
      <x:c r="H167" s="50" t="n">
        <x:f>IF($B167&lt;='Scorecard'!$B$3-74,1,0)</x:f>
        <x:v>1</x:v>
      </x:c>
      <x:c r="I167" s="50" t="n">
        <x:f>IF(COUNTIFS(Events!$B$4:$B$1456,$A167,Events!$C$4:$C$1456,"day60_activity_observed",Events!$D$4:$D$1456,"&gt;="&amp;($B167+60),Events!$D$4:$D$1456,"&lt;="&amp;($B167+74))&gt;0,1,0)</x:f>
        <x:v>1</x:v>
      </x:c>
    </x:row>
    <x:row r="168">
      <x:c r="A168" s="50" t="str">
        <x:f>Members!A168</x:f>
        <x:v>SYN0165</x:v>
      </x:c>
      <x:c r="B168" s="51" t="n">
        <x:f>Members!B168</x:f>
        <x:v>46243</x:v>
      </x:c>
      <x:c r="C168" s="50" t="str">
        <x:f>Members!C168</x:f>
        <x:v>Direct</x:v>
      </x:c>
      <x:c r="D168" s="50" t="n">
        <x:f>IF($B168&lt;='Scorecard'!$B$3-7,1,0)</x:f>
        <x:v>1</x:v>
      </x:c>
      <x:c r="E168" s="50" t="n">
        <x:f>IF(COUNTIFS(Events!$B$4:$B$1456,$A168,Events!$C$4:$C$1456,"coach_contact_completed",Events!$D$4:$D$1456,"&gt;="&amp;($B168+0),Events!$D$4:$D$1456,"&lt;="&amp;($B168+7))&gt;0,1,0)</x:f>
        <x:v>1</x:v>
      </x:c>
      <x:c r="F168" s="50" t="n">
        <x:f>IF($B168&lt;='Scorecard'!$B$3-37,1,0)</x:f>
        <x:v>1</x:v>
      </x:c>
      <x:c r="G168" s="50" t="n">
        <x:f>IF(COUNTIFS(Events!$B$4:$B$1456,$A168,Events!$C$4:$C$1456,"day30_checkin_completed",Events!$D$4:$D$1456,"&gt;="&amp;($B168+28),Events!$D$4:$D$1456,"&lt;="&amp;($B168+37))&gt;0,1,0)</x:f>
        <x:v>0</x:v>
      </x:c>
      <x:c r="H168" s="50" t="n">
        <x:f>IF($B168&lt;='Scorecard'!$B$3-74,1,0)</x:f>
        <x:v>0</x:v>
      </x:c>
      <x:c r="I168" s="50" t="n">
        <x:f>IF(COUNTIFS(Events!$B$4:$B$1456,$A168,Events!$C$4:$C$1456,"day60_activity_observed",Events!$D$4:$D$1456,"&gt;="&amp;($B168+60),Events!$D$4:$D$1456,"&lt;="&amp;($B168+74))&gt;0,1,0)</x:f>
        <x:v>0</x:v>
      </x:c>
    </x:row>
    <x:row r="169">
      <x:c r="A169" s="50" t="str">
        <x:f>Members!A169</x:f>
        <x:v>SYN0166</x:v>
      </x:c>
      <x:c r="B169" s="51" t="n">
        <x:f>Members!B169</x:f>
        <x:v>46069</x:v>
      </x:c>
      <x:c r="C169" s="50" t="str">
        <x:f>Members!C169</x:f>
        <x:v>Direct</x:v>
      </x:c>
      <x:c r="D169" s="50" t="n">
        <x:f>IF($B169&lt;='Scorecard'!$B$3-7,1,0)</x:f>
        <x:v>1</x:v>
      </x:c>
      <x:c r="E169" s="50" t="n">
        <x:f>IF(COUNTIFS(Events!$B$4:$B$1456,$A169,Events!$C$4:$C$1456,"coach_contact_completed",Events!$D$4:$D$1456,"&gt;="&amp;($B169+0),Events!$D$4:$D$1456,"&lt;="&amp;($B169+7))&gt;0,1,0)</x:f>
        <x:v>0</x:v>
      </x:c>
      <x:c r="F169" s="50" t="n">
        <x:f>IF($B169&lt;='Scorecard'!$B$3-37,1,0)</x:f>
        <x:v>1</x:v>
      </x:c>
      <x:c r="G169" s="50" t="n">
        <x:f>IF(COUNTIFS(Events!$B$4:$B$1456,$A169,Events!$C$4:$C$1456,"day30_checkin_completed",Events!$D$4:$D$1456,"&gt;="&amp;($B169+28),Events!$D$4:$D$1456,"&lt;="&amp;($B169+37))&gt;0,1,0)</x:f>
        <x:v>1</x:v>
      </x:c>
      <x:c r="H169" s="50" t="n">
        <x:f>IF($B169&lt;='Scorecard'!$B$3-74,1,0)</x:f>
        <x:v>1</x:v>
      </x:c>
      <x:c r="I169" s="50" t="n">
        <x:f>IF(COUNTIFS(Events!$B$4:$B$1456,$A169,Events!$C$4:$C$1456,"day60_activity_observed",Events!$D$4:$D$1456,"&gt;="&amp;($B169+60),Events!$D$4:$D$1456,"&lt;="&amp;($B169+74))&gt;0,1,0)</x:f>
        <x:v>0</x:v>
      </x:c>
    </x:row>
    <x:row r="170">
      <x:c r="A170" s="50" t="str">
        <x:f>Members!A170</x:f>
        <x:v>SYN0167</x:v>
      </x:c>
      <x:c r="B170" s="51" t="n">
        <x:f>Members!B170</x:f>
        <x:v>46193</x:v>
      </x:c>
      <x:c r="C170" s="50" t="str">
        <x:f>Members!C170</x:f>
        <x:v>Direct</x:v>
      </x:c>
      <x:c r="D170" s="50" t="n">
        <x:f>IF($B170&lt;='Scorecard'!$B$3-7,1,0)</x:f>
        <x:v>1</x:v>
      </x:c>
      <x:c r="E170" s="50" t="n">
        <x:f>IF(COUNTIFS(Events!$B$4:$B$1456,$A170,Events!$C$4:$C$1456,"coach_contact_completed",Events!$D$4:$D$1456,"&gt;="&amp;($B170+0),Events!$D$4:$D$1456,"&lt;="&amp;($B170+7))&gt;0,1,0)</x:f>
        <x:v>0</x:v>
      </x:c>
      <x:c r="F170" s="50" t="n">
        <x:f>IF($B170&lt;='Scorecard'!$B$3-37,1,0)</x:f>
        <x:v>1</x:v>
      </x:c>
      <x:c r="G170" s="50" t="n">
        <x:f>IF(COUNTIFS(Events!$B$4:$B$1456,$A170,Events!$C$4:$C$1456,"day30_checkin_completed",Events!$D$4:$D$1456,"&gt;="&amp;($B170+28),Events!$D$4:$D$1456,"&lt;="&amp;($B170+37))&gt;0,1,0)</x:f>
        <x:v>0</x:v>
      </x:c>
      <x:c r="H170" s="50" t="n">
        <x:f>IF($B170&lt;='Scorecard'!$B$3-74,1,0)</x:f>
        <x:v>1</x:v>
      </x:c>
      <x:c r="I170" s="50" t="n">
        <x:f>IF(COUNTIFS(Events!$B$4:$B$1456,$A170,Events!$C$4:$C$1456,"day60_activity_observed",Events!$D$4:$D$1456,"&gt;="&amp;($B170+60),Events!$D$4:$D$1456,"&lt;="&amp;($B170+74))&gt;0,1,0)</x:f>
        <x:v>1</x:v>
      </x:c>
    </x:row>
    <x:row r="171">
      <x:c r="A171" s="50" t="str">
        <x:f>Members!A171</x:f>
        <x:v>SYN0168</x:v>
      </x:c>
      <x:c r="B171" s="51" t="n">
        <x:f>Members!B171</x:f>
        <x:v>46129</x:v>
      </x:c>
      <x:c r="C171" s="50" t="str">
        <x:f>Members!C171</x:f>
        <x:v>Direct</x:v>
      </x:c>
      <x:c r="D171" s="50" t="n">
        <x:f>IF($B171&lt;='Scorecard'!$B$3-7,1,0)</x:f>
        <x:v>1</x:v>
      </x:c>
      <x:c r="E171" s="50" t="n">
        <x:f>IF(COUNTIFS(Events!$B$4:$B$1456,$A171,Events!$C$4:$C$1456,"coach_contact_completed",Events!$D$4:$D$1456,"&gt;="&amp;($B171+0),Events!$D$4:$D$1456,"&lt;="&amp;($B171+7))&gt;0,1,0)</x:f>
        <x:v>1</x:v>
      </x:c>
      <x:c r="F171" s="50" t="n">
        <x:f>IF($B171&lt;='Scorecard'!$B$3-37,1,0)</x:f>
        <x:v>1</x:v>
      </x:c>
      <x:c r="G171" s="50" t="n">
        <x:f>IF(COUNTIFS(Events!$B$4:$B$1456,$A171,Events!$C$4:$C$1456,"day30_checkin_completed",Events!$D$4:$D$1456,"&gt;="&amp;($B171+28),Events!$D$4:$D$1456,"&lt;="&amp;($B171+37))&gt;0,1,0)</x:f>
        <x:v>1</x:v>
      </x:c>
      <x:c r="H171" s="50" t="n">
        <x:f>IF($B171&lt;='Scorecard'!$B$3-74,1,0)</x:f>
        <x:v>1</x:v>
      </x:c>
      <x:c r="I171" s="50" t="n">
        <x:f>IF(COUNTIFS(Events!$B$4:$B$1456,$A171,Events!$C$4:$C$1456,"day60_activity_observed",Events!$D$4:$D$1456,"&gt;="&amp;($B171+60),Events!$D$4:$D$1456,"&lt;="&amp;($B171+74))&gt;0,1,0)</x:f>
        <x:v>1</x:v>
      </x:c>
    </x:row>
    <x:row r="172">
      <x:c r="A172" s="50" t="str">
        <x:f>Members!A172</x:f>
        <x:v>SYN0169</x:v>
      </x:c>
      <x:c r="B172" s="51" t="n">
        <x:f>Members!B172</x:f>
        <x:v>46221</x:v>
      </x:c>
      <x:c r="C172" s="50" t="str">
        <x:f>Members!C172</x:f>
        <x:v>Direct</x:v>
      </x:c>
      <x:c r="D172" s="50" t="n">
        <x:f>IF($B172&lt;='Scorecard'!$B$3-7,1,0)</x:f>
        <x:v>1</x:v>
      </x:c>
      <x:c r="E172" s="50" t="n">
        <x:f>IF(COUNTIFS(Events!$B$4:$B$1456,$A172,Events!$C$4:$C$1456,"coach_contact_completed",Events!$D$4:$D$1456,"&gt;="&amp;($B172+0),Events!$D$4:$D$1456,"&lt;="&amp;($B172+7))&gt;0,1,0)</x:f>
        <x:v>0</x:v>
      </x:c>
      <x:c r="F172" s="50" t="n">
        <x:f>IF($B172&lt;='Scorecard'!$B$3-37,1,0)</x:f>
        <x:v>1</x:v>
      </x:c>
      <x:c r="G172" s="50" t="n">
        <x:f>IF(COUNTIFS(Events!$B$4:$B$1456,$A172,Events!$C$4:$C$1456,"day30_checkin_completed",Events!$D$4:$D$1456,"&gt;="&amp;($B172+28),Events!$D$4:$D$1456,"&lt;="&amp;($B172+37))&gt;0,1,0)</x:f>
        <x:v>0</x:v>
      </x:c>
      <x:c r="H172" s="50" t="n">
        <x:f>IF($B172&lt;='Scorecard'!$B$3-74,1,0)</x:f>
        <x:v>1</x:v>
      </x:c>
      <x:c r="I172" s="50" t="n">
        <x:f>IF(COUNTIFS(Events!$B$4:$B$1456,$A172,Events!$C$4:$C$1456,"day60_activity_observed",Events!$D$4:$D$1456,"&gt;="&amp;($B172+60),Events!$D$4:$D$1456,"&lt;="&amp;($B172+74))&gt;0,1,0)</x:f>
        <x:v>1</x:v>
      </x:c>
    </x:row>
    <x:row r="173">
      <x:c r="A173" s="50" t="str">
        <x:f>Members!A173</x:f>
        <x:v>SYN0170</x:v>
      </x:c>
      <x:c r="B173" s="51" t="n">
        <x:f>Members!B173</x:f>
        <x:v>46250</x:v>
      </x:c>
      <x:c r="C173" s="50" t="str">
        <x:f>Members!C173</x:f>
        <x:v>Employer</x:v>
      </x:c>
      <x:c r="D173" s="50" t="n">
        <x:f>IF($B173&lt;='Scorecard'!$B$3-7,1,0)</x:f>
        <x:v>1</x:v>
      </x:c>
      <x:c r="E173" s="50" t="n">
        <x:f>IF(COUNTIFS(Events!$B$4:$B$1456,$A173,Events!$C$4:$C$1456,"coach_contact_completed",Events!$D$4:$D$1456,"&gt;="&amp;($B173+0),Events!$D$4:$D$1456,"&lt;="&amp;($B173+7))&gt;0,1,0)</x:f>
        <x:v>1</x:v>
      </x:c>
      <x:c r="F173" s="50" t="n">
        <x:f>IF($B173&lt;='Scorecard'!$B$3-37,1,0)</x:f>
        <x:v>1</x:v>
      </x:c>
      <x:c r="G173" s="50" t="n">
        <x:f>IF(COUNTIFS(Events!$B$4:$B$1456,$A173,Events!$C$4:$C$1456,"day30_checkin_completed",Events!$D$4:$D$1456,"&gt;="&amp;($B173+28),Events!$D$4:$D$1456,"&lt;="&amp;($B173+37))&gt;0,1,0)</x:f>
        <x:v>1</x:v>
      </x:c>
      <x:c r="H173" s="50" t="n">
        <x:f>IF($B173&lt;='Scorecard'!$B$3-74,1,0)</x:f>
        <x:v>0</x:v>
      </x:c>
      <x:c r="I173" s="50" t="n">
        <x:f>IF(COUNTIFS(Events!$B$4:$B$1456,$A173,Events!$C$4:$C$1456,"day60_activity_observed",Events!$D$4:$D$1456,"&gt;="&amp;($B173+60),Events!$D$4:$D$1456,"&lt;="&amp;($B173+74))&gt;0,1,0)</x:f>
        <x:v>0</x:v>
      </x:c>
    </x:row>
    <x:row r="174">
      <x:c r="A174" s="50" t="str">
        <x:f>Members!A174</x:f>
        <x:v>SYN0171</x:v>
      </x:c>
      <x:c r="B174" s="51" t="n">
        <x:f>Members!B174</x:f>
        <x:v>46107</x:v>
      </x:c>
      <x:c r="C174" s="50" t="str">
        <x:f>Members!C174</x:f>
        <x:v>Employer</x:v>
      </x:c>
      <x:c r="D174" s="50" t="n">
        <x:f>IF($B174&lt;='Scorecard'!$B$3-7,1,0)</x:f>
        <x:v>1</x:v>
      </x:c>
      <x:c r="E174" s="50" t="n">
        <x:f>IF(COUNTIFS(Events!$B$4:$B$1456,$A174,Events!$C$4:$C$1456,"coach_contact_completed",Events!$D$4:$D$1456,"&gt;="&amp;($B174+0),Events!$D$4:$D$1456,"&lt;="&amp;($B174+7))&gt;0,1,0)</x:f>
        <x:v>0</x:v>
      </x:c>
      <x:c r="F174" s="50" t="n">
        <x:f>IF($B174&lt;='Scorecard'!$B$3-37,1,0)</x:f>
        <x:v>1</x:v>
      </x:c>
      <x:c r="G174" s="50" t="n">
        <x:f>IF(COUNTIFS(Events!$B$4:$B$1456,$A174,Events!$C$4:$C$1456,"day30_checkin_completed",Events!$D$4:$D$1456,"&gt;="&amp;($B174+28),Events!$D$4:$D$1456,"&lt;="&amp;($B174+37))&gt;0,1,0)</x:f>
        <x:v>1</x:v>
      </x:c>
      <x:c r="H174" s="50" t="n">
        <x:f>IF($B174&lt;='Scorecard'!$B$3-74,1,0)</x:f>
        <x:v>1</x:v>
      </x:c>
      <x:c r="I174" s="50" t="n">
        <x:f>IF(COUNTIFS(Events!$B$4:$B$1456,$A174,Events!$C$4:$C$1456,"day60_activity_observed",Events!$D$4:$D$1456,"&gt;="&amp;($B174+60),Events!$D$4:$D$1456,"&lt;="&amp;($B174+74))&gt;0,1,0)</x:f>
        <x:v>1</x:v>
      </x:c>
    </x:row>
    <x:row r="175">
      <x:c r="A175" s="50" t="str">
        <x:f>Members!A175</x:f>
        <x:v>SYN0172</x:v>
      </x:c>
      <x:c r="B175" s="51" t="n">
        <x:f>Members!B175</x:f>
        <x:v>46088</x:v>
      </x:c>
      <x:c r="C175" s="50" t="str">
        <x:f>Members!C175</x:f>
        <x:v>Direct</x:v>
      </x:c>
      <x:c r="D175" s="50" t="n">
        <x:f>IF($B175&lt;='Scorecard'!$B$3-7,1,0)</x:f>
        <x:v>1</x:v>
      </x:c>
      <x:c r="E175" s="50" t="n">
        <x:f>IF(COUNTIFS(Events!$B$4:$B$1456,$A175,Events!$C$4:$C$1456,"coach_contact_completed",Events!$D$4:$D$1456,"&gt;="&amp;($B175+0),Events!$D$4:$D$1456,"&lt;="&amp;($B175+7))&gt;0,1,0)</x:f>
        <x:v>1</x:v>
      </x:c>
      <x:c r="F175" s="50" t="n">
        <x:f>IF($B175&lt;='Scorecard'!$B$3-37,1,0)</x:f>
        <x:v>1</x:v>
      </x:c>
      <x:c r="G175" s="50" t="n">
        <x:f>IF(COUNTIFS(Events!$B$4:$B$1456,$A175,Events!$C$4:$C$1456,"day30_checkin_completed",Events!$D$4:$D$1456,"&gt;="&amp;($B175+28),Events!$D$4:$D$1456,"&lt;="&amp;($B175+37))&gt;0,1,0)</x:f>
        <x:v>0</x:v>
      </x:c>
      <x:c r="H175" s="50" t="n">
        <x:f>IF($B175&lt;='Scorecard'!$B$3-74,1,0)</x:f>
        <x:v>1</x:v>
      </x:c>
      <x:c r="I175" s="50" t="n">
        <x:f>IF(COUNTIFS(Events!$B$4:$B$1456,$A175,Events!$C$4:$C$1456,"day60_activity_observed",Events!$D$4:$D$1456,"&gt;="&amp;($B175+60),Events!$D$4:$D$1456,"&lt;="&amp;($B175+74))&gt;0,1,0)</x:f>
        <x:v>1</x:v>
      </x:c>
    </x:row>
    <x:row r="176">
      <x:c r="A176" s="50" t="str">
        <x:f>Members!A176</x:f>
        <x:v>SYN0173</x:v>
      </x:c>
      <x:c r="B176" s="51" t="n">
        <x:f>Members!B176</x:f>
        <x:v>46262</x:v>
      </x:c>
      <x:c r="C176" s="50" t="str">
        <x:f>Members!C176</x:f>
        <x:v>Direct</x:v>
      </x:c>
      <x:c r="D176" s="50" t="n">
        <x:f>IF($B176&lt;='Scorecard'!$B$3-7,1,0)</x:f>
        <x:v>1</x:v>
      </x:c>
      <x:c r="E176" s="50" t="n">
        <x:f>IF(COUNTIFS(Events!$B$4:$B$1456,$A176,Events!$C$4:$C$1456,"coach_contact_completed",Events!$D$4:$D$1456,"&gt;="&amp;($B176+0),Events!$D$4:$D$1456,"&lt;="&amp;($B176+7))&gt;0,1,0)</x:f>
        <x:v>1</x:v>
      </x:c>
      <x:c r="F176" s="50" t="n">
        <x:f>IF($B176&lt;='Scorecard'!$B$3-37,1,0)</x:f>
        <x:v>0</x:v>
      </x:c>
      <x:c r="G176" s="50" t="n">
        <x:f>IF(COUNTIFS(Events!$B$4:$B$1456,$A176,Events!$C$4:$C$1456,"day30_checkin_completed",Events!$D$4:$D$1456,"&gt;="&amp;($B176+28),Events!$D$4:$D$1456,"&lt;="&amp;($B176+37))&gt;0,1,0)</x:f>
        <x:v>0</x:v>
      </x:c>
      <x:c r="H176" s="50" t="n">
        <x:f>IF($B176&lt;='Scorecard'!$B$3-74,1,0)</x:f>
        <x:v>0</x:v>
      </x:c>
      <x:c r="I176" s="50" t="n">
        <x:f>IF(COUNTIFS(Events!$B$4:$B$1456,$A176,Events!$C$4:$C$1456,"day60_activity_observed",Events!$D$4:$D$1456,"&gt;="&amp;($B176+60),Events!$D$4:$D$1456,"&lt;="&amp;($B176+74))&gt;0,1,0)</x:f>
        <x:v>0</x:v>
      </x:c>
    </x:row>
    <x:row r="177">
      <x:c r="A177" s="50" t="str">
        <x:f>Members!A177</x:f>
        <x:v>SYN0174</x:v>
      </x:c>
      <x:c r="B177" s="51" t="n">
        <x:f>Members!B177</x:f>
        <x:v>46136</x:v>
      </x:c>
      <x:c r="C177" s="50" t="str">
        <x:f>Members!C177</x:f>
        <x:v>Direct</x:v>
      </x:c>
      <x:c r="D177" s="50" t="n">
        <x:f>IF($B177&lt;='Scorecard'!$B$3-7,1,0)</x:f>
        <x:v>1</x:v>
      </x:c>
      <x:c r="E177" s="50" t="n">
        <x:f>IF(COUNTIFS(Events!$B$4:$B$1456,$A177,Events!$C$4:$C$1456,"coach_contact_completed",Events!$D$4:$D$1456,"&gt;="&amp;($B177+0),Events!$D$4:$D$1456,"&lt;="&amp;($B177+7))&gt;0,1,0)</x:f>
        <x:v>1</x:v>
      </x:c>
      <x:c r="F177" s="50" t="n">
        <x:f>IF($B177&lt;='Scorecard'!$B$3-37,1,0)</x:f>
        <x:v>1</x:v>
      </x:c>
      <x:c r="G177" s="50" t="n">
        <x:f>IF(COUNTIFS(Events!$B$4:$B$1456,$A177,Events!$C$4:$C$1456,"day30_checkin_completed",Events!$D$4:$D$1456,"&gt;="&amp;($B177+28),Events!$D$4:$D$1456,"&lt;="&amp;($B177+37))&gt;0,1,0)</x:f>
        <x:v>0</x:v>
      </x:c>
      <x:c r="H177" s="50" t="n">
        <x:f>IF($B177&lt;='Scorecard'!$B$3-74,1,0)</x:f>
        <x:v>1</x:v>
      </x:c>
      <x:c r="I177" s="50" t="n">
        <x:f>IF(COUNTIFS(Events!$B$4:$B$1456,$A177,Events!$C$4:$C$1456,"day60_activity_observed",Events!$D$4:$D$1456,"&gt;="&amp;($B177+60),Events!$D$4:$D$1456,"&lt;="&amp;($B177+74))&gt;0,1,0)</x:f>
        <x:v>0</x:v>
      </x:c>
    </x:row>
    <x:row r="178">
      <x:c r="A178" s="50" t="str">
        <x:f>Members!A178</x:f>
        <x:v>SYN0175</x:v>
      </x:c>
      <x:c r="B178" s="51" t="n">
        <x:f>Members!B178</x:f>
        <x:v>46108</x:v>
      </x:c>
      <x:c r="C178" s="50" t="str">
        <x:f>Members!C178</x:f>
        <x:v>Direct</x:v>
      </x:c>
      <x:c r="D178" s="50" t="n">
        <x:f>IF($B178&lt;='Scorecard'!$B$3-7,1,0)</x:f>
        <x:v>1</x:v>
      </x:c>
      <x:c r="E178" s="50" t="n">
        <x:f>IF(COUNTIFS(Events!$B$4:$B$1456,$A178,Events!$C$4:$C$1456,"coach_contact_completed",Events!$D$4:$D$1456,"&gt;="&amp;($B178+0),Events!$D$4:$D$1456,"&lt;="&amp;($B178+7))&gt;0,1,0)</x:f>
        <x:v>1</x:v>
      </x:c>
      <x:c r="F178" s="50" t="n">
        <x:f>IF($B178&lt;='Scorecard'!$B$3-37,1,0)</x:f>
        <x:v>1</x:v>
      </x:c>
      <x:c r="G178" s="50" t="n">
        <x:f>IF(COUNTIFS(Events!$B$4:$B$1456,$A178,Events!$C$4:$C$1456,"day30_checkin_completed",Events!$D$4:$D$1456,"&gt;="&amp;($B178+28),Events!$D$4:$D$1456,"&lt;="&amp;($B178+37))&gt;0,1,0)</x:f>
        <x:v>1</x:v>
      </x:c>
      <x:c r="H178" s="50" t="n">
        <x:f>IF($B178&lt;='Scorecard'!$B$3-74,1,0)</x:f>
        <x:v>1</x:v>
      </x:c>
      <x:c r="I178" s="50" t="n">
        <x:f>IF(COUNTIFS(Events!$B$4:$B$1456,$A178,Events!$C$4:$C$1456,"day60_activity_observed",Events!$D$4:$D$1456,"&gt;="&amp;($B178+60),Events!$D$4:$D$1456,"&lt;="&amp;($B178+74))&gt;0,1,0)</x:f>
        <x:v>1</x:v>
      </x:c>
    </x:row>
    <x:row r="179">
      <x:c r="A179" s="50" t="str">
        <x:f>Members!A179</x:f>
        <x:v>SYN0176</x:v>
      </x:c>
      <x:c r="B179" s="51" t="n">
        <x:f>Members!B179</x:f>
        <x:v>46118</x:v>
      </x:c>
      <x:c r="C179" s="50" t="str">
        <x:f>Members!C179</x:f>
        <x:v>Employer</x:v>
      </x:c>
      <x:c r="D179" s="50" t="n">
        <x:f>IF($B179&lt;='Scorecard'!$B$3-7,1,0)</x:f>
        <x:v>1</x:v>
      </x:c>
      <x:c r="E179" s="50" t="n">
        <x:f>IF(COUNTIFS(Events!$B$4:$B$1456,$A179,Events!$C$4:$C$1456,"coach_contact_completed",Events!$D$4:$D$1456,"&gt;="&amp;($B179+0),Events!$D$4:$D$1456,"&lt;="&amp;($B179+7))&gt;0,1,0)</x:f>
        <x:v>0</x:v>
      </x:c>
      <x:c r="F179" s="50" t="n">
        <x:f>IF($B179&lt;='Scorecard'!$B$3-37,1,0)</x:f>
        <x:v>1</x:v>
      </x:c>
      <x:c r="G179" s="50" t="n">
        <x:f>IF(COUNTIFS(Events!$B$4:$B$1456,$A179,Events!$C$4:$C$1456,"day30_checkin_completed",Events!$D$4:$D$1456,"&gt;="&amp;($B179+28),Events!$D$4:$D$1456,"&lt;="&amp;($B179+37))&gt;0,1,0)</x:f>
        <x:v>1</x:v>
      </x:c>
      <x:c r="H179" s="50" t="n">
        <x:f>IF($B179&lt;='Scorecard'!$B$3-74,1,0)</x:f>
        <x:v>1</x:v>
      </x:c>
      <x:c r="I179" s="50" t="n">
        <x:f>IF(COUNTIFS(Events!$B$4:$B$1456,$A179,Events!$C$4:$C$1456,"day60_activity_observed",Events!$D$4:$D$1456,"&gt;="&amp;($B179+60),Events!$D$4:$D$1456,"&lt;="&amp;($B179+74))&gt;0,1,0)</x:f>
        <x:v>1</x:v>
      </x:c>
    </x:row>
    <x:row r="180">
      <x:c r="A180" s="50" t="str">
        <x:f>Members!A180</x:f>
        <x:v>SYN0177</x:v>
      </x:c>
      <x:c r="B180" s="51" t="n">
        <x:f>Members!B180</x:f>
        <x:v>46083</x:v>
      </x:c>
      <x:c r="C180" s="50" t="str">
        <x:f>Members!C180</x:f>
        <x:v>Direct</x:v>
      </x:c>
      <x:c r="D180" s="50" t="n">
        <x:f>IF($B180&lt;='Scorecard'!$B$3-7,1,0)</x:f>
        <x:v>1</x:v>
      </x:c>
      <x:c r="E180" s="50" t="n">
        <x:f>IF(COUNTIFS(Events!$B$4:$B$1456,$A180,Events!$C$4:$C$1456,"coach_contact_completed",Events!$D$4:$D$1456,"&gt;="&amp;($B180+0),Events!$D$4:$D$1456,"&lt;="&amp;($B180+7))&gt;0,1,0)</x:f>
        <x:v>0</x:v>
      </x:c>
      <x:c r="F180" s="50" t="n">
        <x:f>IF($B180&lt;='Scorecard'!$B$3-37,1,0)</x:f>
        <x:v>1</x:v>
      </x:c>
      <x:c r="G180" s="50" t="n">
        <x:f>IF(COUNTIFS(Events!$B$4:$B$1456,$A180,Events!$C$4:$C$1456,"day30_checkin_completed",Events!$D$4:$D$1456,"&gt;="&amp;($B180+28),Events!$D$4:$D$1456,"&lt;="&amp;($B180+37))&gt;0,1,0)</x:f>
        <x:v>1</x:v>
      </x:c>
      <x:c r="H180" s="50" t="n">
        <x:f>IF($B180&lt;='Scorecard'!$B$3-74,1,0)</x:f>
        <x:v>1</x:v>
      </x:c>
      <x:c r="I180" s="50" t="n">
        <x:f>IF(COUNTIFS(Events!$B$4:$B$1456,$A180,Events!$C$4:$C$1456,"day60_activity_observed",Events!$D$4:$D$1456,"&gt;="&amp;($B180+60),Events!$D$4:$D$1456,"&lt;="&amp;($B180+74))&gt;0,1,0)</x:f>
        <x:v>1</x:v>
      </x:c>
    </x:row>
    <x:row r="181">
      <x:c r="A181" s="50" t="str">
        <x:f>Members!A181</x:f>
        <x:v>SYN0178</x:v>
      </x:c>
      <x:c r="B181" s="51" t="n">
        <x:f>Members!B181</x:f>
        <x:v>46170</x:v>
      </x:c>
      <x:c r="C181" s="50" t="str">
        <x:f>Members!C181</x:f>
        <x:v>Employer</x:v>
      </x:c>
      <x:c r="D181" s="50" t="n">
        <x:f>IF($B181&lt;='Scorecard'!$B$3-7,1,0)</x:f>
        <x:v>1</x:v>
      </x:c>
      <x:c r="E181" s="50" t="n">
        <x:f>IF(COUNTIFS(Events!$B$4:$B$1456,$A181,Events!$C$4:$C$1456,"coach_contact_completed",Events!$D$4:$D$1456,"&gt;="&amp;($B181+0),Events!$D$4:$D$1456,"&lt;="&amp;($B181+7))&gt;0,1,0)</x:f>
        <x:v>0</x:v>
      </x:c>
      <x:c r="F181" s="50" t="n">
        <x:f>IF($B181&lt;='Scorecard'!$B$3-37,1,0)</x:f>
        <x:v>1</x:v>
      </x:c>
      <x:c r="G181" s="50" t="n">
        <x:f>IF(COUNTIFS(Events!$B$4:$B$1456,$A181,Events!$C$4:$C$1456,"day30_checkin_completed",Events!$D$4:$D$1456,"&gt;="&amp;($B181+28),Events!$D$4:$D$1456,"&lt;="&amp;($B181+37))&gt;0,1,0)</x:f>
        <x:v>0</x:v>
      </x:c>
      <x:c r="H181" s="50" t="n">
        <x:f>IF($B181&lt;='Scorecard'!$B$3-74,1,0)</x:f>
        <x:v>1</x:v>
      </x:c>
      <x:c r="I181" s="50" t="n">
        <x:f>IF(COUNTIFS(Events!$B$4:$B$1456,$A181,Events!$C$4:$C$1456,"day60_activity_observed",Events!$D$4:$D$1456,"&gt;="&amp;($B181+60),Events!$D$4:$D$1456,"&lt;="&amp;($B181+74))&gt;0,1,0)</x:f>
        <x:v>1</x:v>
      </x:c>
    </x:row>
    <x:row r="182">
      <x:c r="A182" s="50" t="str">
        <x:f>Members!A182</x:f>
        <x:v>SYN0179</x:v>
      </x:c>
      <x:c r="B182" s="51" t="n">
        <x:f>Members!B182</x:f>
        <x:v>46025</x:v>
      </x:c>
      <x:c r="C182" s="50" t="str">
        <x:f>Members!C182</x:f>
        <x:v>Employer</x:v>
      </x:c>
      <x:c r="D182" s="50" t="n">
        <x:f>IF($B182&lt;='Scorecard'!$B$3-7,1,0)</x:f>
        <x:v>1</x:v>
      </x:c>
      <x:c r="E182" s="50" t="n">
        <x:f>IF(COUNTIFS(Events!$B$4:$B$1456,$A182,Events!$C$4:$C$1456,"coach_contact_completed",Events!$D$4:$D$1456,"&gt;="&amp;($B182+0),Events!$D$4:$D$1456,"&lt;="&amp;($B182+7))&gt;0,1,0)</x:f>
        <x:v>0</x:v>
      </x:c>
      <x:c r="F182" s="50" t="n">
        <x:f>IF($B182&lt;='Scorecard'!$B$3-37,1,0)</x:f>
        <x:v>1</x:v>
      </x:c>
      <x:c r="G182" s="50" t="n">
        <x:f>IF(COUNTIFS(Events!$B$4:$B$1456,$A182,Events!$C$4:$C$1456,"day30_checkin_completed",Events!$D$4:$D$1456,"&gt;="&amp;($B182+28),Events!$D$4:$D$1456,"&lt;="&amp;($B182+37))&gt;0,1,0)</x:f>
        <x:v>1</x:v>
      </x:c>
      <x:c r="H182" s="50" t="n">
        <x:f>IF($B182&lt;='Scorecard'!$B$3-74,1,0)</x:f>
        <x:v>1</x:v>
      </x:c>
      <x:c r="I182" s="50" t="n">
        <x:f>IF(COUNTIFS(Events!$B$4:$B$1456,$A182,Events!$C$4:$C$1456,"day60_activity_observed",Events!$D$4:$D$1456,"&gt;="&amp;($B182+60),Events!$D$4:$D$1456,"&lt;="&amp;($B182+74))&gt;0,1,0)</x:f>
        <x:v>0</x:v>
      </x:c>
    </x:row>
    <x:row r="183">
      <x:c r="A183" s="50" t="str">
        <x:f>Members!A183</x:f>
        <x:v>SYN0180</x:v>
      </x:c>
      <x:c r="B183" s="51" t="n">
        <x:f>Members!B183</x:f>
        <x:v>46261</x:v>
      </x:c>
      <x:c r="C183" s="50" t="str">
        <x:f>Members!C183</x:f>
        <x:v>Employer</x:v>
      </x:c>
      <x:c r="D183" s="50" t="n">
        <x:f>IF($B183&lt;='Scorecard'!$B$3-7,1,0)</x:f>
        <x:v>1</x:v>
      </x:c>
      <x:c r="E183" s="50" t="n">
        <x:f>IF(COUNTIFS(Events!$B$4:$B$1456,$A183,Events!$C$4:$C$1456,"coach_contact_completed",Events!$D$4:$D$1456,"&gt;="&amp;($B183+0),Events!$D$4:$D$1456,"&lt;="&amp;($B183+7))&gt;0,1,0)</x:f>
        <x:v>1</x:v>
      </x:c>
      <x:c r="F183" s="50" t="n">
        <x:f>IF($B183&lt;='Scorecard'!$B$3-37,1,0)</x:f>
        <x:v>0</x:v>
      </x:c>
      <x:c r="G183" s="50" t="n">
        <x:f>IF(COUNTIFS(Events!$B$4:$B$1456,$A183,Events!$C$4:$C$1456,"day30_checkin_completed",Events!$D$4:$D$1456,"&gt;="&amp;($B183+28),Events!$D$4:$D$1456,"&lt;="&amp;($B183+37))&gt;0,1,0)</x:f>
        <x:v>0</x:v>
      </x:c>
      <x:c r="H183" s="50" t="n">
        <x:f>IF($B183&lt;='Scorecard'!$B$3-74,1,0)</x:f>
        <x:v>0</x:v>
      </x:c>
      <x:c r="I183" s="50" t="n">
        <x:f>IF(COUNTIFS(Events!$B$4:$B$1456,$A183,Events!$C$4:$C$1456,"day60_activity_observed",Events!$D$4:$D$1456,"&gt;="&amp;($B183+60),Events!$D$4:$D$1456,"&lt;="&amp;($B183+74))&gt;0,1,0)</x:f>
        <x:v>0</x:v>
      </x:c>
    </x:row>
    <x:row r="184">
      <x:c r="A184" s="50" t="str">
        <x:f>Members!A184</x:f>
        <x:v>SYN0181</x:v>
      </x:c>
      <x:c r="B184" s="51" t="n">
        <x:f>Members!B184</x:f>
        <x:v>46221</x:v>
      </x:c>
      <x:c r="C184" s="50" t="str">
        <x:f>Members!C184</x:f>
        <x:v>Direct</x:v>
      </x:c>
      <x:c r="D184" s="50" t="n">
        <x:f>IF($B184&lt;='Scorecard'!$B$3-7,1,0)</x:f>
        <x:v>1</x:v>
      </x:c>
      <x:c r="E184" s="50" t="n">
        <x:f>IF(COUNTIFS(Events!$B$4:$B$1456,$A184,Events!$C$4:$C$1456,"coach_contact_completed",Events!$D$4:$D$1456,"&gt;="&amp;($B184+0),Events!$D$4:$D$1456,"&lt;="&amp;($B184+7))&gt;0,1,0)</x:f>
        <x:v>1</x:v>
      </x:c>
      <x:c r="F184" s="50" t="n">
        <x:f>IF($B184&lt;='Scorecard'!$B$3-37,1,0)</x:f>
        <x:v>1</x:v>
      </x:c>
      <x:c r="G184" s="50" t="n">
        <x:f>IF(COUNTIFS(Events!$B$4:$B$1456,$A184,Events!$C$4:$C$1456,"day30_checkin_completed",Events!$D$4:$D$1456,"&gt;="&amp;($B184+28),Events!$D$4:$D$1456,"&lt;="&amp;($B184+37))&gt;0,1,0)</x:f>
        <x:v>1</x:v>
      </x:c>
      <x:c r="H184" s="50" t="n">
        <x:f>IF($B184&lt;='Scorecard'!$B$3-74,1,0)</x:f>
        <x:v>1</x:v>
      </x:c>
      <x:c r="I184" s="50" t="n">
        <x:f>IF(COUNTIFS(Events!$B$4:$B$1456,$A184,Events!$C$4:$C$1456,"day60_activity_observed",Events!$D$4:$D$1456,"&gt;="&amp;($B184+60),Events!$D$4:$D$1456,"&lt;="&amp;($B184+74))&gt;0,1,0)</x:f>
        <x:v>1</x:v>
      </x:c>
    </x:row>
    <x:row r="185">
      <x:c r="A185" s="50" t="str">
        <x:f>Members!A185</x:f>
        <x:v>SYN0182</x:v>
      </x:c>
      <x:c r="B185" s="51" t="n">
        <x:f>Members!B185</x:f>
        <x:v>46256</x:v>
      </x:c>
      <x:c r="C185" s="50" t="str">
        <x:f>Members!C185</x:f>
        <x:v>Direct</x:v>
      </x:c>
      <x:c r="D185" s="50" t="n">
        <x:f>IF($B185&lt;='Scorecard'!$B$3-7,1,0)</x:f>
        <x:v>1</x:v>
      </x:c>
      <x:c r="E185" s="50" t="n">
        <x:f>IF(COUNTIFS(Events!$B$4:$B$1456,$A185,Events!$C$4:$C$1456,"coach_contact_completed",Events!$D$4:$D$1456,"&gt;="&amp;($B185+0),Events!$D$4:$D$1456,"&lt;="&amp;($B185+7))&gt;0,1,0)</x:f>
        <x:v>1</x:v>
      </x:c>
      <x:c r="F185" s="50" t="n">
        <x:f>IF($B185&lt;='Scorecard'!$B$3-37,1,0)</x:f>
        <x:v>1</x:v>
      </x:c>
      <x:c r="G185" s="50" t="n">
        <x:f>IF(COUNTIFS(Events!$B$4:$B$1456,$A185,Events!$C$4:$C$1456,"day30_checkin_completed",Events!$D$4:$D$1456,"&gt;="&amp;($B185+28),Events!$D$4:$D$1456,"&lt;="&amp;($B185+37))&gt;0,1,0)</x:f>
        <x:v>1</x:v>
      </x:c>
      <x:c r="H185" s="50" t="n">
        <x:f>IF($B185&lt;='Scorecard'!$B$3-74,1,0)</x:f>
        <x:v>0</x:v>
      </x:c>
      <x:c r="I185" s="50" t="n">
        <x:f>IF(COUNTIFS(Events!$B$4:$B$1456,$A185,Events!$C$4:$C$1456,"day60_activity_observed",Events!$D$4:$D$1456,"&gt;="&amp;($B185+60),Events!$D$4:$D$1456,"&lt;="&amp;($B185+74))&gt;0,1,0)</x:f>
        <x:v>0</x:v>
      </x:c>
    </x:row>
    <x:row r="186">
      <x:c r="A186" s="50" t="str">
        <x:f>Members!A186</x:f>
        <x:v>SYN0183</x:v>
      </x:c>
      <x:c r="B186" s="51" t="n">
        <x:f>Members!B186</x:f>
        <x:v>46233</x:v>
      </x:c>
      <x:c r="C186" s="50" t="str">
        <x:f>Members!C186</x:f>
        <x:v>Direct</x:v>
      </x:c>
      <x:c r="D186" s="50" t="n">
        <x:f>IF($B186&lt;='Scorecard'!$B$3-7,1,0)</x:f>
        <x:v>1</x:v>
      </x:c>
      <x:c r="E186" s="50" t="n">
        <x:f>IF(COUNTIFS(Events!$B$4:$B$1456,$A186,Events!$C$4:$C$1456,"coach_contact_completed",Events!$D$4:$D$1456,"&gt;="&amp;($B186+0),Events!$D$4:$D$1456,"&lt;="&amp;($B186+7))&gt;0,1,0)</x:f>
        <x:v>0</x:v>
      </x:c>
      <x:c r="F186" s="50" t="n">
        <x:f>IF($B186&lt;='Scorecard'!$B$3-37,1,0)</x:f>
        <x:v>1</x:v>
      </x:c>
      <x:c r="G186" s="50" t="n">
        <x:f>IF(COUNTIFS(Events!$B$4:$B$1456,$A186,Events!$C$4:$C$1456,"day30_checkin_completed",Events!$D$4:$D$1456,"&gt;="&amp;($B186+28),Events!$D$4:$D$1456,"&lt;="&amp;($B186+37))&gt;0,1,0)</x:f>
        <x:v>1</x:v>
      </x:c>
      <x:c r="H186" s="50" t="n">
        <x:f>IF($B186&lt;='Scorecard'!$B$3-74,1,0)</x:f>
        <x:v>0</x:v>
      </x:c>
      <x:c r="I186" s="50" t="n">
        <x:f>IF(COUNTIFS(Events!$B$4:$B$1456,$A186,Events!$C$4:$C$1456,"day60_activity_observed",Events!$D$4:$D$1456,"&gt;="&amp;($B186+60),Events!$D$4:$D$1456,"&lt;="&amp;($B186+74))&gt;0,1,0)</x:f>
        <x:v>1</x:v>
      </x:c>
    </x:row>
    <x:row r="187">
      <x:c r="A187" s="50" t="str">
        <x:f>Members!A187</x:f>
        <x:v>SYN0184</x:v>
      </x:c>
      <x:c r="B187" s="51" t="n">
        <x:f>Members!B187</x:f>
        <x:v>46260</x:v>
      </x:c>
      <x:c r="C187" s="50" t="str">
        <x:f>Members!C187</x:f>
        <x:v>Direct</x:v>
      </x:c>
      <x:c r="D187" s="50" t="n">
        <x:f>IF($B187&lt;='Scorecard'!$B$3-7,1,0)</x:f>
        <x:v>1</x:v>
      </x:c>
      <x:c r="E187" s="50" t="n">
        <x:f>IF(COUNTIFS(Events!$B$4:$B$1456,$A187,Events!$C$4:$C$1456,"coach_contact_completed",Events!$D$4:$D$1456,"&gt;="&amp;($B187+0),Events!$D$4:$D$1456,"&lt;="&amp;($B187+7))&gt;0,1,0)</x:f>
        <x:v>1</x:v>
      </x:c>
      <x:c r="F187" s="50" t="n">
        <x:f>IF($B187&lt;='Scorecard'!$B$3-37,1,0)</x:f>
        <x:v>0</x:v>
      </x:c>
      <x:c r="G187" s="50" t="n">
        <x:f>IF(COUNTIFS(Events!$B$4:$B$1456,$A187,Events!$C$4:$C$1456,"day30_checkin_completed",Events!$D$4:$D$1456,"&gt;="&amp;($B187+28),Events!$D$4:$D$1456,"&lt;="&amp;($B187+37))&gt;0,1,0)</x:f>
        <x:v>0</x:v>
      </x:c>
      <x:c r="H187" s="50" t="n">
        <x:f>IF($B187&lt;='Scorecard'!$B$3-74,1,0)</x:f>
        <x:v>0</x:v>
      </x:c>
      <x:c r="I187" s="50" t="n">
        <x:f>IF(COUNTIFS(Events!$B$4:$B$1456,$A187,Events!$C$4:$C$1456,"day60_activity_observed",Events!$D$4:$D$1456,"&gt;="&amp;($B187+60),Events!$D$4:$D$1456,"&lt;="&amp;($B187+74))&gt;0,1,0)</x:f>
        <x:v>0</x:v>
      </x:c>
    </x:row>
    <x:row r="188">
      <x:c r="A188" s="50" t="str">
        <x:f>Members!A188</x:f>
        <x:v>SYN0185</x:v>
      </x:c>
      <x:c r="B188" s="51" t="n">
        <x:f>Members!B188</x:f>
        <x:v>46067</x:v>
      </x:c>
      <x:c r="C188" s="50" t="str">
        <x:f>Members!C188</x:f>
        <x:v>Direct</x:v>
      </x:c>
      <x:c r="D188" s="50" t="n">
        <x:f>IF($B188&lt;='Scorecard'!$B$3-7,1,0)</x:f>
        <x:v>1</x:v>
      </x:c>
      <x:c r="E188" s="50" t="n">
        <x:f>IF(COUNTIFS(Events!$B$4:$B$1456,$A188,Events!$C$4:$C$1456,"coach_contact_completed",Events!$D$4:$D$1456,"&gt;="&amp;($B188+0),Events!$D$4:$D$1456,"&lt;="&amp;($B188+7))&gt;0,1,0)</x:f>
        <x:v>0</x:v>
      </x:c>
      <x:c r="F188" s="50" t="n">
        <x:f>IF($B188&lt;='Scorecard'!$B$3-37,1,0)</x:f>
        <x:v>1</x:v>
      </x:c>
      <x:c r="G188" s="50" t="n">
        <x:f>IF(COUNTIFS(Events!$B$4:$B$1456,$A188,Events!$C$4:$C$1456,"day30_checkin_completed",Events!$D$4:$D$1456,"&gt;="&amp;($B188+28),Events!$D$4:$D$1456,"&lt;="&amp;($B188+37))&gt;0,1,0)</x:f>
        <x:v>1</x:v>
      </x:c>
      <x:c r="H188" s="50" t="n">
        <x:f>IF($B188&lt;='Scorecard'!$B$3-74,1,0)</x:f>
        <x:v>1</x:v>
      </x:c>
      <x:c r="I188" s="50" t="n">
        <x:f>IF(COUNTIFS(Events!$B$4:$B$1456,$A188,Events!$C$4:$C$1456,"day60_activity_observed",Events!$D$4:$D$1456,"&gt;="&amp;($B188+60),Events!$D$4:$D$1456,"&lt;="&amp;($B188+74))&gt;0,1,0)</x:f>
        <x:v>0</x:v>
      </x:c>
    </x:row>
    <x:row r="189">
      <x:c r="A189" s="50" t="str">
        <x:f>Members!A189</x:f>
        <x:v>SYN0186</x:v>
      </x:c>
      <x:c r="B189" s="51" t="n">
        <x:f>Members!B189</x:f>
        <x:v>46107</x:v>
      </x:c>
      <x:c r="C189" s="50" t="str">
        <x:f>Members!C189</x:f>
        <x:v>Direct</x:v>
      </x:c>
      <x:c r="D189" s="50" t="n">
        <x:f>IF($B189&lt;='Scorecard'!$B$3-7,1,0)</x:f>
        <x:v>1</x:v>
      </x:c>
      <x:c r="E189" s="50" t="n">
        <x:f>IF(COUNTIFS(Events!$B$4:$B$1456,$A189,Events!$C$4:$C$1456,"coach_contact_completed",Events!$D$4:$D$1456,"&gt;="&amp;($B189+0),Events!$D$4:$D$1456,"&lt;="&amp;($B189+7))&gt;0,1,0)</x:f>
        <x:v>1</x:v>
      </x:c>
      <x:c r="F189" s="50" t="n">
        <x:f>IF($B189&lt;='Scorecard'!$B$3-37,1,0)</x:f>
        <x:v>1</x:v>
      </x:c>
      <x:c r="G189" s="50" t="n">
        <x:f>IF(COUNTIFS(Events!$B$4:$B$1456,$A189,Events!$C$4:$C$1456,"day30_checkin_completed",Events!$D$4:$D$1456,"&gt;="&amp;($B189+28),Events!$D$4:$D$1456,"&lt;="&amp;($B189+37))&gt;0,1,0)</x:f>
        <x:v>1</x:v>
      </x:c>
      <x:c r="H189" s="50" t="n">
        <x:f>IF($B189&lt;='Scorecard'!$B$3-74,1,0)</x:f>
        <x:v>1</x:v>
      </x:c>
      <x:c r="I189" s="50" t="n">
        <x:f>IF(COUNTIFS(Events!$B$4:$B$1456,$A189,Events!$C$4:$C$1456,"day60_activity_observed",Events!$D$4:$D$1456,"&gt;="&amp;($B189+60),Events!$D$4:$D$1456,"&lt;="&amp;($B189+74))&gt;0,1,0)</x:f>
        <x:v>1</x:v>
      </x:c>
    </x:row>
    <x:row r="190">
      <x:c r="A190" s="50" t="str">
        <x:f>Members!A190</x:f>
        <x:v>SYN0187</x:v>
      </x:c>
      <x:c r="B190" s="51" t="n">
        <x:f>Members!B190</x:f>
        <x:v>46136</x:v>
      </x:c>
      <x:c r="C190" s="50" t="str">
        <x:f>Members!C190</x:f>
        <x:v>Employer</x:v>
      </x:c>
      <x:c r="D190" s="50" t="n">
        <x:f>IF($B190&lt;='Scorecard'!$B$3-7,1,0)</x:f>
        <x:v>1</x:v>
      </x:c>
      <x:c r="E190" s="50" t="n">
        <x:f>IF(COUNTIFS(Events!$B$4:$B$1456,$A190,Events!$C$4:$C$1456,"coach_contact_completed",Events!$D$4:$D$1456,"&gt;="&amp;($B190+0),Events!$D$4:$D$1456,"&lt;="&amp;($B190+7))&gt;0,1,0)</x:f>
        <x:v>1</x:v>
      </x:c>
      <x:c r="F190" s="50" t="n">
        <x:f>IF($B190&lt;='Scorecard'!$B$3-37,1,0)</x:f>
        <x:v>1</x:v>
      </x:c>
      <x:c r="G190" s="50" t="n">
        <x:f>IF(COUNTIFS(Events!$B$4:$B$1456,$A190,Events!$C$4:$C$1456,"day30_checkin_completed",Events!$D$4:$D$1456,"&gt;="&amp;($B190+28),Events!$D$4:$D$1456,"&lt;="&amp;($B190+37))&gt;0,1,0)</x:f>
        <x:v>1</x:v>
      </x:c>
      <x:c r="H190" s="50" t="n">
        <x:f>IF($B190&lt;='Scorecard'!$B$3-74,1,0)</x:f>
        <x:v>1</x:v>
      </x:c>
      <x:c r="I190" s="50" t="n">
        <x:f>IF(COUNTIFS(Events!$B$4:$B$1456,$A190,Events!$C$4:$C$1456,"day60_activity_observed",Events!$D$4:$D$1456,"&gt;="&amp;($B190+60),Events!$D$4:$D$1456,"&lt;="&amp;($B190+74))&gt;0,1,0)</x:f>
        <x:v>1</x:v>
      </x:c>
    </x:row>
    <x:row r="191">
      <x:c r="A191" s="50" t="str">
        <x:f>Members!A191</x:f>
        <x:v>SYN0188</x:v>
      </x:c>
      <x:c r="B191" s="51" t="n">
        <x:f>Members!B191</x:f>
        <x:v>46232</x:v>
      </x:c>
      <x:c r="C191" s="50" t="str">
        <x:f>Members!C191</x:f>
        <x:v>Direct</x:v>
      </x:c>
      <x:c r="D191" s="50" t="n">
        <x:f>IF($B191&lt;='Scorecard'!$B$3-7,1,0)</x:f>
        <x:v>1</x:v>
      </x:c>
      <x:c r="E191" s="50" t="n">
        <x:f>IF(COUNTIFS(Events!$B$4:$B$1456,$A191,Events!$C$4:$C$1456,"coach_contact_completed",Events!$D$4:$D$1456,"&gt;="&amp;($B191+0),Events!$D$4:$D$1456,"&lt;="&amp;($B191+7))&gt;0,1,0)</x:f>
        <x:v>1</x:v>
      </x:c>
      <x:c r="F191" s="50" t="n">
        <x:f>IF($B191&lt;='Scorecard'!$B$3-37,1,0)</x:f>
        <x:v>1</x:v>
      </x:c>
      <x:c r="G191" s="50" t="n">
        <x:f>IF(COUNTIFS(Events!$B$4:$B$1456,$A191,Events!$C$4:$C$1456,"day30_checkin_completed",Events!$D$4:$D$1456,"&gt;="&amp;($B191+28),Events!$D$4:$D$1456,"&lt;="&amp;($B191+37))&gt;0,1,0)</x:f>
        <x:v>1</x:v>
      </x:c>
      <x:c r="H191" s="50" t="n">
        <x:f>IF($B191&lt;='Scorecard'!$B$3-74,1,0)</x:f>
        <x:v>0</x:v>
      </x:c>
      <x:c r="I191" s="50" t="n">
        <x:f>IF(COUNTIFS(Events!$B$4:$B$1456,$A191,Events!$C$4:$C$1456,"day60_activity_observed",Events!$D$4:$D$1456,"&gt;="&amp;($B191+60),Events!$D$4:$D$1456,"&lt;="&amp;($B191+74))&gt;0,1,0)</x:f>
        <x:v>0</x:v>
      </x:c>
    </x:row>
    <x:row r="192">
      <x:c r="A192" s="50" t="str">
        <x:f>Members!A192</x:f>
        <x:v>SYN0189</x:v>
      </x:c>
      <x:c r="B192" s="51" t="n">
        <x:f>Members!B192</x:f>
        <x:v>46058</x:v>
      </x:c>
      <x:c r="C192" s="50" t="str">
        <x:f>Members!C192</x:f>
        <x:v>Employer</x:v>
      </x:c>
      <x:c r="D192" s="50" t="n">
        <x:f>IF($B192&lt;='Scorecard'!$B$3-7,1,0)</x:f>
        <x:v>1</x:v>
      </x:c>
      <x:c r="E192" s="50" t="n">
        <x:f>IF(COUNTIFS(Events!$B$4:$B$1456,$A192,Events!$C$4:$C$1456,"coach_contact_completed",Events!$D$4:$D$1456,"&gt;="&amp;($B192+0),Events!$D$4:$D$1456,"&lt;="&amp;($B192+7))&gt;0,1,0)</x:f>
        <x:v>0</x:v>
      </x:c>
      <x:c r="F192" s="50" t="n">
        <x:f>IF($B192&lt;='Scorecard'!$B$3-37,1,0)</x:f>
        <x:v>1</x:v>
      </x:c>
      <x:c r="G192" s="50" t="n">
        <x:f>IF(COUNTIFS(Events!$B$4:$B$1456,$A192,Events!$C$4:$C$1456,"day30_checkin_completed",Events!$D$4:$D$1456,"&gt;="&amp;($B192+28),Events!$D$4:$D$1456,"&lt;="&amp;($B192+37))&gt;0,1,0)</x:f>
        <x:v>1</x:v>
      </x:c>
      <x:c r="H192" s="50" t="n">
        <x:f>IF($B192&lt;='Scorecard'!$B$3-74,1,0)</x:f>
        <x:v>1</x:v>
      </x:c>
      <x:c r="I192" s="50" t="n">
        <x:f>IF(COUNTIFS(Events!$B$4:$B$1456,$A192,Events!$C$4:$C$1456,"day60_activity_observed",Events!$D$4:$D$1456,"&gt;="&amp;($B192+60),Events!$D$4:$D$1456,"&lt;="&amp;($B192+74))&gt;0,1,0)</x:f>
        <x:v>0</x:v>
      </x:c>
    </x:row>
    <x:row r="193">
      <x:c r="A193" s="50" t="str">
        <x:f>Members!A193</x:f>
        <x:v>SYN0190</x:v>
      </x:c>
      <x:c r="B193" s="51" t="n">
        <x:f>Members!B193</x:f>
        <x:v>46202</x:v>
      </x:c>
      <x:c r="C193" s="50" t="str">
        <x:f>Members!C193</x:f>
        <x:v>Direct</x:v>
      </x:c>
      <x:c r="D193" s="50" t="n">
        <x:f>IF($B193&lt;='Scorecard'!$B$3-7,1,0)</x:f>
        <x:v>1</x:v>
      </x:c>
      <x:c r="E193" s="50" t="n">
        <x:f>IF(COUNTIFS(Events!$B$4:$B$1456,$A193,Events!$C$4:$C$1456,"coach_contact_completed",Events!$D$4:$D$1456,"&gt;="&amp;($B193+0),Events!$D$4:$D$1456,"&lt;="&amp;($B193+7))&gt;0,1,0)</x:f>
        <x:v>1</x:v>
      </x:c>
      <x:c r="F193" s="50" t="n">
        <x:f>IF($B193&lt;='Scorecard'!$B$3-37,1,0)</x:f>
        <x:v>1</x:v>
      </x:c>
      <x:c r="G193" s="50" t="n">
        <x:f>IF(COUNTIFS(Events!$B$4:$B$1456,$A193,Events!$C$4:$C$1456,"day30_checkin_completed",Events!$D$4:$D$1456,"&gt;="&amp;($B193+28),Events!$D$4:$D$1456,"&lt;="&amp;($B193+37))&gt;0,1,0)</x:f>
        <x:v>1</x:v>
      </x:c>
      <x:c r="H193" s="50" t="n">
        <x:f>IF($B193&lt;='Scorecard'!$B$3-74,1,0)</x:f>
        <x:v>1</x:v>
      </x:c>
      <x:c r="I193" s="50" t="n">
        <x:f>IF(COUNTIFS(Events!$B$4:$B$1456,$A193,Events!$C$4:$C$1456,"day60_activity_observed",Events!$D$4:$D$1456,"&gt;="&amp;($B193+60),Events!$D$4:$D$1456,"&lt;="&amp;($B193+74))&gt;0,1,0)</x:f>
        <x:v>0</x:v>
      </x:c>
    </x:row>
    <x:row r="194">
      <x:c r="A194" s="50" t="str">
        <x:f>Members!A194</x:f>
        <x:v>SYN0191</x:v>
      </x:c>
      <x:c r="B194" s="51" t="n">
        <x:f>Members!B194</x:f>
        <x:v>46030</x:v>
      </x:c>
      <x:c r="C194" s="50" t="str">
        <x:f>Members!C194</x:f>
        <x:v>Direct</x:v>
      </x:c>
      <x:c r="D194" s="50" t="n">
        <x:f>IF($B194&lt;='Scorecard'!$B$3-7,1,0)</x:f>
        <x:v>1</x:v>
      </x:c>
      <x:c r="E194" s="50" t="n">
        <x:f>IF(COUNTIFS(Events!$B$4:$B$1456,$A194,Events!$C$4:$C$1456,"coach_contact_completed",Events!$D$4:$D$1456,"&gt;="&amp;($B194+0),Events!$D$4:$D$1456,"&lt;="&amp;($B194+7))&gt;0,1,0)</x:f>
        <x:v>0</x:v>
      </x:c>
      <x:c r="F194" s="50" t="n">
        <x:f>IF($B194&lt;='Scorecard'!$B$3-37,1,0)</x:f>
        <x:v>1</x:v>
      </x:c>
      <x:c r="G194" s="50" t="n">
        <x:f>IF(COUNTIFS(Events!$B$4:$B$1456,$A194,Events!$C$4:$C$1456,"day30_checkin_completed",Events!$D$4:$D$1456,"&gt;="&amp;($B194+28),Events!$D$4:$D$1456,"&lt;="&amp;($B194+37))&gt;0,1,0)</x:f>
        <x:v>1</x:v>
      </x:c>
      <x:c r="H194" s="50" t="n">
        <x:f>IF($B194&lt;='Scorecard'!$B$3-74,1,0)</x:f>
        <x:v>1</x:v>
      </x:c>
      <x:c r="I194" s="50" t="n">
        <x:f>IF(COUNTIFS(Events!$B$4:$B$1456,$A194,Events!$C$4:$C$1456,"day60_activity_observed",Events!$D$4:$D$1456,"&gt;="&amp;($B194+60),Events!$D$4:$D$1456,"&lt;="&amp;($B194+74))&gt;0,1,0)</x:f>
        <x:v>1</x:v>
      </x:c>
    </x:row>
    <x:row r="195">
      <x:c r="A195" s="50" t="str">
        <x:f>Members!A195</x:f>
        <x:v>SYN0192</x:v>
      </x:c>
      <x:c r="B195" s="51" t="n">
        <x:f>Members!B195</x:f>
        <x:v>46234</x:v>
      </x:c>
      <x:c r="C195" s="50" t="str">
        <x:f>Members!C195</x:f>
        <x:v>Employer</x:v>
      </x:c>
      <x:c r="D195" s="50" t="n">
        <x:f>IF($B195&lt;='Scorecard'!$B$3-7,1,0)</x:f>
        <x:v>1</x:v>
      </x:c>
      <x:c r="E195" s="50" t="n">
        <x:f>IF(COUNTIFS(Events!$B$4:$B$1456,$A195,Events!$C$4:$C$1456,"coach_contact_completed",Events!$D$4:$D$1456,"&gt;="&amp;($B195+0),Events!$D$4:$D$1456,"&lt;="&amp;($B195+7))&gt;0,1,0)</x:f>
        <x:v>1</x:v>
      </x:c>
      <x:c r="F195" s="50" t="n">
        <x:f>IF($B195&lt;='Scorecard'!$B$3-37,1,0)</x:f>
        <x:v>1</x:v>
      </x:c>
      <x:c r="G195" s="50" t="n">
        <x:f>IF(COUNTIFS(Events!$B$4:$B$1456,$A195,Events!$C$4:$C$1456,"day30_checkin_completed",Events!$D$4:$D$1456,"&gt;="&amp;($B195+28),Events!$D$4:$D$1456,"&lt;="&amp;($B195+37))&gt;0,1,0)</x:f>
        <x:v>0</x:v>
      </x:c>
      <x:c r="H195" s="50" t="n">
        <x:f>IF($B195&lt;='Scorecard'!$B$3-74,1,0)</x:f>
        <x:v>0</x:v>
      </x:c>
      <x:c r="I195" s="50" t="n">
        <x:f>IF(COUNTIFS(Events!$B$4:$B$1456,$A195,Events!$C$4:$C$1456,"day60_activity_observed",Events!$D$4:$D$1456,"&gt;="&amp;($B195+60),Events!$D$4:$D$1456,"&lt;="&amp;($B195+74))&gt;0,1,0)</x:f>
        <x:v>0</x:v>
      </x:c>
    </x:row>
    <x:row r="196">
      <x:c r="A196" s="50" t="str">
        <x:f>Members!A196</x:f>
        <x:v>SYN0193</x:v>
      </x:c>
      <x:c r="B196" s="51" t="n">
        <x:f>Members!B196</x:f>
        <x:v>46095</x:v>
      </x:c>
      <x:c r="C196" s="50" t="str">
        <x:f>Members!C196</x:f>
        <x:v>Employer</x:v>
      </x:c>
      <x:c r="D196" s="50" t="n">
        <x:f>IF($B196&lt;='Scorecard'!$B$3-7,1,0)</x:f>
        <x:v>1</x:v>
      </x:c>
      <x:c r="E196" s="50" t="n">
        <x:f>IF(COUNTIFS(Events!$B$4:$B$1456,$A196,Events!$C$4:$C$1456,"coach_contact_completed",Events!$D$4:$D$1456,"&gt;="&amp;($B196+0),Events!$D$4:$D$1456,"&lt;="&amp;($B196+7))&gt;0,1,0)</x:f>
        <x:v>1</x:v>
      </x:c>
      <x:c r="F196" s="50" t="n">
        <x:f>IF($B196&lt;='Scorecard'!$B$3-37,1,0)</x:f>
        <x:v>1</x:v>
      </x:c>
      <x:c r="G196" s="50" t="n">
        <x:f>IF(COUNTIFS(Events!$B$4:$B$1456,$A196,Events!$C$4:$C$1456,"day30_checkin_completed",Events!$D$4:$D$1456,"&gt;="&amp;($B196+28),Events!$D$4:$D$1456,"&lt;="&amp;($B196+37))&gt;0,1,0)</x:f>
        <x:v>1</x:v>
      </x:c>
      <x:c r="H196" s="50" t="n">
        <x:f>IF($B196&lt;='Scorecard'!$B$3-74,1,0)</x:f>
        <x:v>1</x:v>
      </x:c>
      <x:c r="I196" s="50" t="n">
        <x:f>IF(COUNTIFS(Events!$B$4:$B$1456,$A196,Events!$C$4:$C$1456,"day60_activity_observed",Events!$D$4:$D$1456,"&gt;="&amp;($B196+60),Events!$D$4:$D$1456,"&lt;="&amp;($B196+74))&gt;0,1,0)</x:f>
        <x:v>1</x:v>
      </x:c>
    </x:row>
    <x:row r="197">
      <x:c r="A197" s="50" t="str">
        <x:f>Members!A197</x:f>
        <x:v>SYN0194</x:v>
      </x:c>
      <x:c r="B197" s="51" t="n">
        <x:f>Members!B197</x:f>
        <x:v>46082</x:v>
      </x:c>
      <x:c r="C197" s="50" t="str">
        <x:f>Members!C197</x:f>
        <x:v>Direct</x:v>
      </x:c>
      <x:c r="D197" s="50" t="n">
        <x:f>IF($B197&lt;='Scorecard'!$B$3-7,1,0)</x:f>
        <x:v>1</x:v>
      </x:c>
      <x:c r="E197" s="50" t="n">
        <x:f>IF(COUNTIFS(Events!$B$4:$B$1456,$A197,Events!$C$4:$C$1456,"coach_contact_completed",Events!$D$4:$D$1456,"&gt;="&amp;($B197+0),Events!$D$4:$D$1456,"&lt;="&amp;($B197+7))&gt;0,1,0)</x:f>
        <x:v>1</x:v>
      </x:c>
      <x:c r="F197" s="50" t="n">
        <x:f>IF($B197&lt;='Scorecard'!$B$3-37,1,0)</x:f>
        <x:v>1</x:v>
      </x:c>
      <x:c r="G197" s="50" t="n">
        <x:f>IF(COUNTIFS(Events!$B$4:$B$1456,$A197,Events!$C$4:$C$1456,"day30_checkin_completed",Events!$D$4:$D$1456,"&gt;="&amp;($B197+28),Events!$D$4:$D$1456,"&lt;="&amp;($B197+37))&gt;0,1,0)</x:f>
        <x:v>0</x:v>
      </x:c>
      <x:c r="H197" s="50" t="n">
        <x:f>IF($B197&lt;='Scorecard'!$B$3-74,1,0)</x:f>
        <x:v>1</x:v>
      </x:c>
      <x:c r="I197" s="50" t="n">
        <x:f>IF(COUNTIFS(Events!$B$4:$B$1456,$A197,Events!$C$4:$C$1456,"day60_activity_observed",Events!$D$4:$D$1456,"&gt;="&amp;($B197+60),Events!$D$4:$D$1456,"&lt;="&amp;($B197+74))&gt;0,1,0)</x:f>
        <x:v>1</x:v>
      </x:c>
    </x:row>
    <x:row r="198">
      <x:c r="A198" s="50" t="str">
        <x:f>Members!A198</x:f>
        <x:v>SYN0195</x:v>
      </x:c>
      <x:c r="B198" s="51" t="n">
        <x:f>Members!B198</x:f>
        <x:v>46071</x:v>
      </x:c>
      <x:c r="C198" s="50" t="str">
        <x:f>Members!C198</x:f>
        <x:v>Direct</x:v>
      </x:c>
      <x:c r="D198" s="50" t="n">
        <x:f>IF($B198&lt;='Scorecard'!$B$3-7,1,0)</x:f>
        <x:v>1</x:v>
      </x:c>
      <x:c r="E198" s="50" t="n">
        <x:f>IF(COUNTIFS(Events!$B$4:$B$1456,$A198,Events!$C$4:$C$1456,"coach_contact_completed",Events!$D$4:$D$1456,"&gt;="&amp;($B198+0),Events!$D$4:$D$1456,"&lt;="&amp;($B198+7))&gt;0,1,0)</x:f>
        <x:v>1</x:v>
      </x:c>
      <x:c r="F198" s="50" t="n">
        <x:f>IF($B198&lt;='Scorecard'!$B$3-37,1,0)</x:f>
        <x:v>1</x:v>
      </x:c>
      <x:c r="G198" s="50" t="n">
        <x:f>IF(COUNTIFS(Events!$B$4:$B$1456,$A198,Events!$C$4:$C$1456,"day30_checkin_completed",Events!$D$4:$D$1456,"&gt;="&amp;($B198+28),Events!$D$4:$D$1456,"&lt;="&amp;($B198+37))&gt;0,1,0)</x:f>
        <x:v>0</x:v>
      </x:c>
      <x:c r="H198" s="50" t="n">
        <x:f>IF($B198&lt;='Scorecard'!$B$3-74,1,0)</x:f>
        <x:v>1</x:v>
      </x:c>
      <x:c r="I198" s="50" t="n">
        <x:f>IF(COUNTIFS(Events!$B$4:$B$1456,$A198,Events!$C$4:$C$1456,"day60_activity_observed",Events!$D$4:$D$1456,"&gt;="&amp;($B198+60),Events!$D$4:$D$1456,"&lt;="&amp;($B198+74))&gt;0,1,0)</x:f>
        <x:v>0</x:v>
      </x:c>
    </x:row>
    <x:row r="199">
      <x:c r="A199" s="50" t="str">
        <x:f>Members!A199</x:f>
        <x:v>SYN0196</x:v>
      </x:c>
      <x:c r="B199" s="51" t="n">
        <x:f>Members!B199</x:f>
        <x:v>46107</x:v>
      </x:c>
      <x:c r="C199" s="50" t="str">
        <x:f>Members!C199</x:f>
        <x:v>Employer</x:v>
      </x:c>
      <x:c r="D199" s="50" t="n">
        <x:f>IF($B199&lt;='Scorecard'!$B$3-7,1,0)</x:f>
        <x:v>1</x:v>
      </x:c>
      <x:c r="E199" s="50" t="n">
        <x:f>IF(COUNTIFS(Events!$B$4:$B$1456,$A199,Events!$C$4:$C$1456,"coach_contact_completed",Events!$D$4:$D$1456,"&gt;="&amp;($B199+0),Events!$D$4:$D$1456,"&lt;="&amp;($B199+7))&gt;0,1,0)</x:f>
        <x:v>1</x:v>
      </x:c>
      <x:c r="F199" s="50" t="n">
        <x:f>IF($B199&lt;='Scorecard'!$B$3-37,1,0)</x:f>
        <x:v>1</x:v>
      </x:c>
      <x:c r="G199" s="50" t="n">
        <x:f>IF(COUNTIFS(Events!$B$4:$B$1456,$A199,Events!$C$4:$C$1456,"day30_checkin_completed",Events!$D$4:$D$1456,"&gt;="&amp;($B199+28),Events!$D$4:$D$1456,"&lt;="&amp;($B199+37))&gt;0,1,0)</x:f>
        <x:v>1</x:v>
      </x:c>
      <x:c r="H199" s="50" t="n">
        <x:f>IF($B199&lt;='Scorecard'!$B$3-74,1,0)</x:f>
        <x:v>1</x:v>
      </x:c>
      <x:c r="I199" s="50" t="n">
        <x:f>IF(COUNTIFS(Events!$B$4:$B$1456,$A199,Events!$C$4:$C$1456,"day60_activity_observed",Events!$D$4:$D$1456,"&gt;="&amp;($B199+60),Events!$D$4:$D$1456,"&lt;="&amp;($B199+74))&gt;0,1,0)</x:f>
        <x:v>1</x:v>
      </x:c>
    </x:row>
    <x:row r="200">
      <x:c r="A200" s="50" t="str">
        <x:f>Members!A200</x:f>
        <x:v>SYN0197</x:v>
      </x:c>
      <x:c r="B200" s="51" t="n">
        <x:f>Members!B200</x:f>
        <x:v>46152</x:v>
      </x:c>
      <x:c r="C200" s="50" t="str">
        <x:f>Members!C200</x:f>
        <x:v>Direct</x:v>
      </x:c>
      <x:c r="D200" s="50" t="n">
        <x:f>IF($B200&lt;='Scorecard'!$B$3-7,1,0)</x:f>
        <x:v>1</x:v>
      </x:c>
      <x:c r="E200" s="50" t="n">
        <x:f>IF(COUNTIFS(Events!$B$4:$B$1456,$A200,Events!$C$4:$C$1456,"coach_contact_completed",Events!$D$4:$D$1456,"&gt;="&amp;($B200+0),Events!$D$4:$D$1456,"&lt;="&amp;($B200+7))&gt;0,1,0)</x:f>
        <x:v>1</x:v>
      </x:c>
      <x:c r="F200" s="50" t="n">
        <x:f>IF($B200&lt;='Scorecard'!$B$3-37,1,0)</x:f>
        <x:v>1</x:v>
      </x:c>
      <x:c r="G200" s="50" t="n">
        <x:f>IF(COUNTIFS(Events!$B$4:$B$1456,$A200,Events!$C$4:$C$1456,"day30_checkin_completed",Events!$D$4:$D$1456,"&gt;="&amp;($B200+28),Events!$D$4:$D$1456,"&lt;="&amp;($B200+37))&gt;0,1,0)</x:f>
        <x:v>1</x:v>
      </x:c>
      <x:c r="H200" s="50" t="n">
        <x:f>IF($B200&lt;='Scorecard'!$B$3-74,1,0)</x:f>
        <x:v>1</x:v>
      </x:c>
      <x:c r="I200" s="50" t="n">
        <x:f>IF(COUNTIFS(Events!$B$4:$B$1456,$A200,Events!$C$4:$C$1456,"day60_activity_observed",Events!$D$4:$D$1456,"&gt;="&amp;($B200+60),Events!$D$4:$D$1456,"&lt;="&amp;($B200+74))&gt;0,1,0)</x:f>
        <x:v>1</x:v>
      </x:c>
    </x:row>
    <x:row r="201">
      <x:c r="A201" s="50" t="str">
        <x:f>Members!A201</x:f>
        <x:v>SYN0198</x:v>
      </x:c>
      <x:c r="B201" s="51" t="n">
        <x:f>Members!B201</x:f>
        <x:v>46075</x:v>
      </x:c>
      <x:c r="C201" s="50" t="str">
        <x:f>Members!C201</x:f>
        <x:v>Employer</x:v>
      </x:c>
      <x:c r="D201" s="50" t="n">
        <x:f>IF($B201&lt;='Scorecard'!$B$3-7,1,0)</x:f>
        <x:v>1</x:v>
      </x:c>
      <x:c r="E201" s="50" t="n">
        <x:f>IF(COUNTIFS(Events!$B$4:$B$1456,$A201,Events!$C$4:$C$1456,"coach_contact_completed",Events!$D$4:$D$1456,"&gt;="&amp;($B201+0),Events!$D$4:$D$1456,"&lt;="&amp;($B201+7))&gt;0,1,0)</x:f>
        <x:v>1</x:v>
      </x:c>
      <x:c r="F201" s="50" t="n">
        <x:f>IF($B201&lt;='Scorecard'!$B$3-37,1,0)</x:f>
        <x:v>1</x:v>
      </x:c>
      <x:c r="G201" s="50" t="n">
        <x:f>IF(COUNTIFS(Events!$B$4:$B$1456,$A201,Events!$C$4:$C$1456,"day30_checkin_completed",Events!$D$4:$D$1456,"&gt;="&amp;($B201+28),Events!$D$4:$D$1456,"&lt;="&amp;($B201+37))&gt;0,1,0)</x:f>
        <x:v>1</x:v>
      </x:c>
      <x:c r="H201" s="50" t="n">
        <x:f>IF($B201&lt;='Scorecard'!$B$3-74,1,0)</x:f>
        <x:v>1</x:v>
      </x:c>
      <x:c r="I201" s="50" t="n">
        <x:f>IF(COUNTIFS(Events!$B$4:$B$1456,$A201,Events!$C$4:$C$1456,"day60_activity_observed",Events!$D$4:$D$1456,"&gt;="&amp;($B201+60),Events!$D$4:$D$1456,"&lt;="&amp;($B201+74))&gt;0,1,0)</x:f>
        <x:v>0</x:v>
      </x:c>
    </x:row>
    <x:row r="202">
      <x:c r="A202" s="50" t="str">
        <x:f>Members!A202</x:f>
        <x:v>SYN0199</x:v>
      </x:c>
      <x:c r="B202" s="51" t="n">
        <x:f>Members!B202</x:f>
        <x:v>46159</x:v>
      </x:c>
      <x:c r="C202" s="50" t="str">
        <x:f>Members!C202</x:f>
        <x:v>Employer</x:v>
      </x:c>
      <x:c r="D202" s="50" t="n">
        <x:f>IF($B202&lt;='Scorecard'!$B$3-7,1,0)</x:f>
        <x:v>1</x:v>
      </x:c>
      <x:c r="E202" s="50" t="n">
        <x:f>IF(COUNTIFS(Events!$B$4:$B$1456,$A202,Events!$C$4:$C$1456,"coach_contact_completed",Events!$D$4:$D$1456,"&gt;="&amp;($B202+0),Events!$D$4:$D$1456,"&lt;="&amp;($B202+7))&gt;0,1,0)</x:f>
        <x:v>1</x:v>
      </x:c>
      <x:c r="F202" s="50" t="n">
        <x:f>IF($B202&lt;='Scorecard'!$B$3-37,1,0)</x:f>
        <x:v>1</x:v>
      </x:c>
      <x:c r="G202" s="50" t="n">
        <x:f>IF(COUNTIFS(Events!$B$4:$B$1456,$A202,Events!$C$4:$C$1456,"day30_checkin_completed",Events!$D$4:$D$1456,"&gt;="&amp;($B202+28),Events!$D$4:$D$1456,"&lt;="&amp;($B202+37))&gt;0,1,0)</x:f>
        <x:v>1</x:v>
      </x:c>
      <x:c r="H202" s="50" t="n">
        <x:f>IF($B202&lt;='Scorecard'!$B$3-74,1,0)</x:f>
        <x:v>1</x:v>
      </x:c>
      <x:c r="I202" s="50" t="n">
        <x:f>IF(COUNTIFS(Events!$B$4:$B$1456,$A202,Events!$C$4:$C$1456,"day60_activity_observed",Events!$D$4:$D$1456,"&gt;="&amp;($B202+60),Events!$D$4:$D$1456,"&lt;="&amp;($B202+74))&gt;0,1,0)</x:f>
        <x:v>0</x:v>
      </x:c>
    </x:row>
    <x:row r="203">
      <x:c r="A203" s="50" t="str">
        <x:f>Members!A203</x:f>
        <x:v>SYN0200</x:v>
      </x:c>
      <x:c r="B203" s="51" t="n">
        <x:f>Members!B203</x:f>
        <x:v>46065</x:v>
      </x:c>
      <x:c r="C203" s="50" t="str">
        <x:f>Members!C203</x:f>
        <x:v>Direct</x:v>
      </x:c>
      <x:c r="D203" s="50" t="n">
        <x:f>IF($B203&lt;='Scorecard'!$B$3-7,1,0)</x:f>
        <x:v>1</x:v>
      </x:c>
      <x:c r="E203" s="50" t="n">
        <x:f>IF(COUNTIFS(Events!$B$4:$B$1456,$A203,Events!$C$4:$C$1456,"coach_contact_completed",Events!$D$4:$D$1456,"&gt;="&amp;($B203+0),Events!$D$4:$D$1456,"&lt;="&amp;($B203+7))&gt;0,1,0)</x:f>
        <x:v>1</x:v>
      </x:c>
      <x:c r="F203" s="50" t="n">
        <x:f>IF($B203&lt;='Scorecard'!$B$3-37,1,0)</x:f>
        <x:v>1</x:v>
      </x:c>
      <x:c r="G203" s="50" t="n">
        <x:f>IF(COUNTIFS(Events!$B$4:$B$1456,$A203,Events!$C$4:$C$1456,"day30_checkin_completed",Events!$D$4:$D$1456,"&gt;="&amp;($B203+28),Events!$D$4:$D$1456,"&lt;="&amp;($B203+37))&gt;0,1,0)</x:f>
        <x:v>1</x:v>
      </x:c>
      <x:c r="H203" s="50" t="n">
        <x:f>IF($B203&lt;='Scorecard'!$B$3-74,1,0)</x:f>
        <x:v>1</x:v>
      </x:c>
      <x:c r="I203" s="50" t="n">
        <x:f>IF(COUNTIFS(Events!$B$4:$B$1456,$A203,Events!$C$4:$C$1456,"day60_activity_observed",Events!$D$4:$D$1456,"&gt;="&amp;($B203+60),Events!$D$4:$D$1456,"&lt;="&amp;($B203+74))&gt;0,1,0)</x:f>
        <x:v>1</x:v>
      </x:c>
    </x:row>
    <x:row r="204">
      <x:c r="A204" s="50" t="str">
        <x:f>Members!A204</x:f>
        <x:v>SYN0201</x:v>
      </x:c>
      <x:c r="B204" s="51" t="n">
        <x:f>Members!B204</x:f>
        <x:v>46062</x:v>
      </x:c>
      <x:c r="C204" s="50" t="str">
        <x:f>Members!C204</x:f>
        <x:v>Employer</x:v>
      </x:c>
      <x:c r="D204" s="50" t="n">
        <x:f>IF($B204&lt;='Scorecard'!$B$3-7,1,0)</x:f>
        <x:v>1</x:v>
      </x:c>
      <x:c r="E204" s="50" t="n">
        <x:f>IF(COUNTIFS(Events!$B$4:$B$1456,$A204,Events!$C$4:$C$1456,"coach_contact_completed",Events!$D$4:$D$1456,"&gt;="&amp;($B204+0),Events!$D$4:$D$1456,"&lt;="&amp;($B204+7))&gt;0,1,0)</x:f>
        <x:v>1</x:v>
      </x:c>
      <x:c r="F204" s="50" t="n">
        <x:f>IF($B204&lt;='Scorecard'!$B$3-37,1,0)</x:f>
        <x:v>1</x:v>
      </x:c>
      <x:c r="G204" s="50" t="n">
        <x:f>IF(COUNTIFS(Events!$B$4:$B$1456,$A204,Events!$C$4:$C$1456,"day30_checkin_completed",Events!$D$4:$D$1456,"&gt;="&amp;($B204+28),Events!$D$4:$D$1456,"&lt;="&amp;($B204+37))&gt;0,1,0)</x:f>
        <x:v>1</x:v>
      </x:c>
      <x:c r="H204" s="50" t="n">
        <x:f>IF($B204&lt;='Scorecard'!$B$3-74,1,0)</x:f>
        <x:v>1</x:v>
      </x:c>
      <x:c r="I204" s="50" t="n">
        <x:f>IF(COUNTIFS(Events!$B$4:$B$1456,$A204,Events!$C$4:$C$1456,"day60_activity_observed",Events!$D$4:$D$1456,"&gt;="&amp;($B204+60),Events!$D$4:$D$1456,"&lt;="&amp;($B204+74))&gt;0,1,0)</x:f>
        <x:v>1</x:v>
      </x:c>
    </x:row>
    <x:row r="205">
      <x:c r="A205" s="50" t="str">
        <x:f>Members!A205</x:f>
        <x:v>SYN0202</x:v>
      </x:c>
      <x:c r="B205" s="51" t="n">
        <x:f>Members!B205</x:f>
        <x:v>46142</x:v>
      </x:c>
      <x:c r="C205" s="50" t="str">
        <x:f>Members!C205</x:f>
        <x:v>Direct</x:v>
      </x:c>
      <x:c r="D205" s="50" t="n">
        <x:f>IF($B205&lt;='Scorecard'!$B$3-7,1,0)</x:f>
        <x:v>1</x:v>
      </x:c>
      <x:c r="E205" s="50" t="n">
        <x:f>IF(COUNTIFS(Events!$B$4:$B$1456,$A205,Events!$C$4:$C$1456,"coach_contact_completed",Events!$D$4:$D$1456,"&gt;="&amp;($B205+0),Events!$D$4:$D$1456,"&lt;="&amp;($B205+7))&gt;0,1,0)</x:f>
        <x:v>1</x:v>
      </x:c>
      <x:c r="F205" s="50" t="n">
        <x:f>IF($B205&lt;='Scorecard'!$B$3-37,1,0)</x:f>
        <x:v>1</x:v>
      </x:c>
      <x:c r="G205" s="50" t="n">
        <x:f>IF(COUNTIFS(Events!$B$4:$B$1456,$A205,Events!$C$4:$C$1456,"day30_checkin_completed",Events!$D$4:$D$1456,"&gt;="&amp;($B205+28),Events!$D$4:$D$1456,"&lt;="&amp;($B205+37))&gt;0,1,0)</x:f>
        <x:v>1</x:v>
      </x:c>
      <x:c r="H205" s="50" t="n">
        <x:f>IF($B205&lt;='Scorecard'!$B$3-74,1,0)</x:f>
        <x:v>1</x:v>
      </x:c>
      <x:c r="I205" s="50" t="n">
        <x:f>IF(COUNTIFS(Events!$B$4:$B$1456,$A205,Events!$C$4:$C$1456,"day60_activity_observed",Events!$D$4:$D$1456,"&gt;="&amp;($B205+60),Events!$D$4:$D$1456,"&lt;="&amp;($B205+74))&gt;0,1,0)</x:f>
        <x:v>1</x:v>
      </x:c>
    </x:row>
    <x:row r="206">
      <x:c r="A206" s="50" t="str">
        <x:f>Members!A206</x:f>
        <x:v>SYN0203</x:v>
      </x:c>
      <x:c r="B206" s="51" t="n">
        <x:f>Members!B206</x:f>
        <x:v>46062</x:v>
      </x:c>
      <x:c r="C206" s="50" t="str">
        <x:f>Members!C206</x:f>
        <x:v>Direct</x:v>
      </x:c>
      <x:c r="D206" s="50" t="n">
        <x:f>IF($B206&lt;='Scorecard'!$B$3-7,1,0)</x:f>
        <x:v>1</x:v>
      </x:c>
      <x:c r="E206" s="50" t="n">
        <x:f>IF(COUNTIFS(Events!$B$4:$B$1456,$A206,Events!$C$4:$C$1456,"coach_contact_completed",Events!$D$4:$D$1456,"&gt;="&amp;($B206+0),Events!$D$4:$D$1456,"&lt;="&amp;($B206+7))&gt;0,1,0)</x:f>
        <x:v>1</x:v>
      </x:c>
      <x:c r="F206" s="50" t="n">
        <x:f>IF($B206&lt;='Scorecard'!$B$3-37,1,0)</x:f>
        <x:v>1</x:v>
      </x:c>
      <x:c r="G206" s="50" t="n">
        <x:f>IF(COUNTIFS(Events!$B$4:$B$1456,$A206,Events!$C$4:$C$1456,"day30_checkin_completed",Events!$D$4:$D$1456,"&gt;="&amp;($B206+28),Events!$D$4:$D$1456,"&lt;="&amp;($B206+37))&gt;0,1,0)</x:f>
        <x:v>0</x:v>
      </x:c>
      <x:c r="H206" s="50" t="n">
        <x:f>IF($B206&lt;='Scorecard'!$B$3-74,1,0)</x:f>
        <x:v>1</x:v>
      </x:c>
      <x:c r="I206" s="50" t="n">
        <x:f>IF(COUNTIFS(Events!$B$4:$B$1456,$A206,Events!$C$4:$C$1456,"day60_activity_observed",Events!$D$4:$D$1456,"&gt;="&amp;($B206+60),Events!$D$4:$D$1456,"&lt;="&amp;($B206+74))&gt;0,1,0)</x:f>
        <x:v>1</x:v>
      </x:c>
    </x:row>
    <x:row r="207">
      <x:c r="A207" s="50" t="str">
        <x:f>Members!A207</x:f>
        <x:v>SYN0204</x:v>
      </x:c>
      <x:c r="B207" s="51" t="n">
        <x:f>Members!B207</x:f>
        <x:v>46232</x:v>
      </x:c>
      <x:c r="C207" s="50" t="str">
        <x:f>Members!C207</x:f>
        <x:v>Direct</x:v>
      </x:c>
      <x:c r="D207" s="50" t="n">
        <x:f>IF($B207&lt;='Scorecard'!$B$3-7,1,0)</x:f>
        <x:v>1</x:v>
      </x:c>
      <x:c r="E207" s="50" t="n">
        <x:f>IF(COUNTIFS(Events!$B$4:$B$1456,$A207,Events!$C$4:$C$1456,"coach_contact_completed",Events!$D$4:$D$1456,"&gt;="&amp;($B207+0),Events!$D$4:$D$1456,"&lt;="&amp;($B207+7))&gt;0,1,0)</x:f>
        <x:v>0</x:v>
      </x:c>
      <x:c r="F207" s="50" t="n">
        <x:f>IF($B207&lt;='Scorecard'!$B$3-37,1,0)</x:f>
        <x:v>1</x:v>
      </x:c>
      <x:c r="G207" s="50" t="n">
        <x:f>IF(COUNTIFS(Events!$B$4:$B$1456,$A207,Events!$C$4:$C$1456,"day30_checkin_completed",Events!$D$4:$D$1456,"&gt;="&amp;($B207+28),Events!$D$4:$D$1456,"&lt;="&amp;($B207+37))&gt;0,1,0)</x:f>
        <x:v>1</x:v>
      </x:c>
      <x:c r="H207" s="50" t="n">
        <x:f>IF($B207&lt;='Scorecard'!$B$3-74,1,0)</x:f>
        <x:v>0</x:v>
      </x:c>
      <x:c r="I207" s="50" t="n">
        <x:f>IF(COUNTIFS(Events!$B$4:$B$1456,$A207,Events!$C$4:$C$1456,"day60_activity_observed",Events!$D$4:$D$1456,"&gt;="&amp;($B207+60),Events!$D$4:$D$1456,"&lt;="&amp;($B207+74))&gt;0,1,0)</x:f>
        <x:v>0</x:v>
      </x:c>
    </x:row>
    <x:row r="208">
      <x:c r="A208" s="50" t="str">
        <x:f>Members!A208</x:f>
        <x:v>SYN0205</x:v>
      </x:c>
      <x:c r="B208" s="51" t="n">
        <x:f>Members!B208</x:f>
        <x:v>46027</x:v>
      </x:c>
      <x:c r="C208" s="50" t="str">
        <x:f>Members!C208</x:f>
        <x:v>Direct</x:v>
      </x:c>
      <x:c r="D208" s="50" t="n">
        <x:f>IF($B208&lt;='Scorecard'!$B$3-7,1,0)</x:f>
        <x:v>1</x:v>
      </x:c>
      <x:c r="E208" s="50" t="n">
        <x:f>IF(COUNTIFS(Events!$B$4:$B$1456,$A208,Events!$C$4:$C$1456,"coach_contact_completed",Events!$D$4:$D$1456,"&gt;="&amp;($B208+0),Events!$D$4:$D$1456,"&lt;="&amp;($B208+7))&gt;0,1,0)</x:f>
        <x:v>0</x:v>
      </x:c>
      <x:c r="F208" s="50" t="n">
        <x:f>IF($B208&lt;='Scorecard'!$B$3-37,1,0)</x:f>
        <x:v>1</x:v>
      </x:c>
      <x:c r="G208" s="50" t="n">
        <x:f>IF(COUNTIFS(Events!$B$4:$B$1456,$A208,Events!$C$4:$C$1456,"day30_checkin_completed",Events!$D$4:$D$1456,"&gt;="&amp;($B208+28),Events!$D$4:$D$1456,"&lt;="&amp;($B208+37))&gt;0,1,0)</x:f>
        <x:v>0</x:v>
      </x:c>
      <x:c r="H208" s="50" t="n">
        <x:f>IF($B208&lt;='Scorecard'!$B$3-74,1,0)</x:f>
        <x:v>1</x:v>
      </x:c>
      <x:c r="I208" s="50" t="n">
        <x:f>IF(COUNTIFS(Events!$B$4:$B$1456,$A208,Events!$C$4:$C$1456,"day60_activity_observed",Events!$D$4:$D$1456,"&gt;="&amp;($B208+60),Events!$D$4:$D$1456,"&lt;="&amp;($B208+74))&gt;0,1,0)</x:f>
        <x:v>1</x:v>
      </x:c>
    </x:row>
    <x:row r="209">
      <x:c r="A209" s="50" t="str">
        <x:f>Members!A209</x:f>
        <x:v>SYN0206</x:v>
      </x:c>
      <x:c r="B209" s="51" t="n">
        <x:f>Members!B209</x:f>
        <x:v>46158</x:v>
      </x:c>
      <x:c r="C209" s="50" t="str">
        <x:f>Members!C209</x:f>
        <x:v>Direct</x:v>
      </x:c>
      <x:c r="D209" s="50" t="n">
        <x:f>IF($B209&lt;='Scorecard'!$B$3-7,1,0)</x:f>
        <x:v>1</x:v>
      </x:c>
      <x:c r="E209" s="50" t="n">
        <x:f>IF(COUNTIFS(Events!$B$4:$B$1456,$A209,Events!$C$4:$C$1456,"coach_contact_completed",Events!$D$4:$D$1456,"&gt;="&amp;($B209+0),Events!$D$4:$D$1456,"&lt;="&amp;($B209+7))&gt;0,1,0)</x:f>
        <x:v>1</x:v>
      </x:c>
      <x:c r="F209" s="50" t="n">
        <x:f>IF($B209&lt;='Scorecard'!$B$3-37,1,0)</x:f>
        <x:v>1</x:v>
      </x:c>
      <x:c r="G209" s="50" t="n">
        <x:f>IF(COUNTIFS(Events!$B$4:$B$1456,$A209,Events!$C$4:$C$1456,"day30_checkin_completed",Events!$D$4:$D$1456,"&gt;="&amp;($B209+28),Events!$D$4:$D$1456,"&lt;="&amp;($B209+37))&gt;0,1,0)</x:f>
        <x:v>0</x:v>
      </x:c>
      <x:c r="H209" s="50" t="n">
        <x:f>IF($B209&lt;='Scorecard'!$B$3-74,1,0)</x:f>
        <x:v>1</x:v>
      </x:c>
      <x:c r="I209" s="50" t="n">
        <x:f>IF(COUNTIFS(Events!$B$4:$B$1456,$A209,Events!$C$4:$C$1456,"day60_activity_observed",Events!$D$4:$D$1456,"&gt;="&amp;($B209+60),Events!$D$4:$D$1456,"&lt;="&amp;($B209+74))&gt;0,1,0)</x:f>
        <x:v>1</x:v>
      </x:c>
    </x:row>
    <x:row r="210">
      <x:c r="A210" s="50" t="str">
        <x:f>Members!A210</x:f>
        <x:v>SYN0207</x:v>
      </x:c>
      <x:c r="B210" s="51" t="n">
        <x:f>Members!B210</x:f>
        <x:v>46145</x:v>
      </x:c>
      <x:c r="C210" s="50" t="str">
        <x:f>Members!C210</x:f>
        <x:v>Direct</x:v>
      </x:c>
      <x:c r="D210" s="50" t="n">
        <x:f>IF($B210&lt;='Scorecard'!$B$3-7,1,0)</x:f>
        <x:v>1</x:v>
      </x:c>
      <x:c r="E210" s="50" t="n">
        <x:f>IF(COUNTIFS(Events!$B$4:$B$1456,$A210,Events!$C$4:$C$1456,"coach_contact_completed",Events!$D$4:$D$1456,"&gt;="&amp;($B210+0),Events!$D$4:$D$1456,"&lt;="&amp;($B210+7))&gt;0,1,0)</x:f>
        <x:v>1</x:v>
      </x:c>
      <x:c r="F210" s="50" t="n">
        <x:f>IF($B210&lt;='Scorecard'!$B$3-37,1,0)</x:f>
        <x:v>1</x:v>
      </x:c>
      <x:c r="G210" s="50" t="n">
        <x:f>IF(COUNTIFS(Events!$B$4:$B$1456,$A210,Events!$C$4:$C$1456,"day30_checkin_completed",Events!$D$4:$D$1456,"&gt;="&amp;($B210+28),Events!$D$4:$D$1456,"&lt;="&amp;($B210+37))&gt;0,1,0)</x:f>
        <x:v>0</x:v>
      </x:c>
      <x:c r="H210" s="50" t="n">
        <x:f>IF($B210&lt;='Scorecard'!$B$3-74,1,0)</x:f>
        <x:v>1</x:v>
      </x:c>
      <x:c r="I210" s="50" t="n">
        <x:f>IF(COUNTIFS(Events!$B$4:$B$1456,$A210,Events!$C$4:$C$1456,"day60_activity_observed",Events!$D$4:$D$1456,"&gt;="&amp;($B210+60),Events!$D$4:$D$1456,"&lt;="&amp;($B210+74))&gt;0,1,0)</x:f>
        <x:v>1</x:v>
      </x:c>
    </x:row>
    <x:row r="211">
      <x:c r="A211" s="50" t="str">
        <x:f>Members!A211</x:f>
        <x:v>SYN0208</x:v>
      </x:c>
      <x:c r="B211" s="51" t="n">
        <x:f>Members!B211</x:f>
        <x:v>46157</x:v>
      </x:c>
      <x:c r="C211" s="50" t="str">
        <x:f>Members!C211</x:f>
        <x:v>Direct</x:v>
      </x:c>
      <x:c r="D211" s="50" t="n">
        <x:f>IF($B211&lt;='Scorecard'!$B$3-7,1,0)</x:f>
        <x:v>1</x:v>
      </x:c>
      <x:c r="E211" s="50" t="n">
        <x:f>IF(COUNTIFS(Events!$B$4:$B$1456,$A211,Events!$C$4:$C$1456,"coach_contact_completed",Events!$D$4:$D$1456,"&gt;="&amp;($B211+0),Events!$D$4:$D$1456,"&lt;="&amp;($B211+7))&gt;0,1,0)</x:f>
        <x:v>1</x:v>
      </x:c>
      <x:c r="F211" s="50" t="n">
        <x:f>IF($B211&lt;='Scorecard'!$B$3-37,1,0)</x:f>
        <x:v>1</x:v>
      </x:c>
      <x:c r="G211" s="50" t="n">
        <x:f>IF(COUNTIFS(Events!$B$4:$B$1456,$A211,Events!$C$4:$C$1456,"day30_checkin_completed",Events!$D$4:$D$1456,"&gt;="&amp;($B211+28),Events!$D$4:$D$1456,"&lt;="&amp;($B211+37))&gt;0,1,0)</x:f>
        <x:v>1</x:v>
      </x:c>
      <x:c r="H211" s="50" t="n">
        <x:f>IF($B211&lt;='Scorecard'!$B$3-74,1,0)</x:f>
        <x:v>1</x:v>
      </x:c>
      <x:c r="I211" s="50" t="n">
        <x:f>IF(COUNTIFS(Events!$B$4:$B$1456,$A211,Events!$C$4:$C$1456,"day60_activity_observed",Events!$D$4:$D$1456,"&gt;="&amp;($B211+60),Events!$D$4:$D$1456,"&lt;="&amp;($B211+74))&gt;0,1,0)</x:f>
        <x:v>1</x:v>
      </x:c>
    </x:row>
    <x:row r="212">
      <x:c r="A212" s="50" t="str">
        <x:f>Members!A212</x:f>
        <x:v>SYN0209</x:v>
      </x:c>
      <x:c r="B212" s="51" t="n">
        <x:f>Members!B212</x:f>
        <x:v>46193</x:v>
      </x:c>
      <x:c r="C212" s="50" t="str">
        <x:f>Members!C212</x:f>
        <x:v>Direct</x:v>
      </x:c>
      <x:c r="D212" s="50" t="n">
        <x:f>IF($B212&lt;='Scorecard'!$B$3-7,1,0)</x:f>
        <x:v>1</x:v>
      </x:c>
      <x:c r="E212" s="50" t="n">
        <x:f>IF(COUNTIFS(Events!$B$4:$B$1456,$A212,Events!$C$4:$C$1456,"coach_contact_completed",Events!$D$4:$D$1456,"&gt;="&amp;($B212+0),Events!$D$4:$D$1456,"&lt;="&amp;($B212+7))&gt;0,1,0)</x:f>
        <x:v>1</x:v>
      </x:c>
      <x:c r="F212" s="50" t="n">
        <x:f>IF($B212&lt;='Scorecard'!$B$3-37,1,0)</x:f>
        <x:v>1</x:v>
      </x:c>
      <x:c r="G212" s="50" t="n">
        <x:f>IF(COUNTIFS(Events!$B$4:$B$1456,$A212,Events!$C$4:$C$1456,"day30_checkin_completed",Events!$D$4:$D$1456,"&gt;="&amp;($B212+28),Events!$D$4:$D$1456,"&lt;="&amp;($B212+37))&gt;0,1,0)</x:f>
        <x:v>0</x:v>
      </x:c>
      <x:c r="H212" s="50" t="n">
        <x:f>IF($B212&lt;='Scorecard'!$B$3-74,1,0)</x:f>
        <x:v>1</x:v>
      </x:c>
      <x:c r="I212" s="50" t="n">
        <x:f>IF(COUNTIFS(Events!$B$4:$B$1456,$A212,Events!$C$4:$C$1456,"day60_activity_observed",Events!$D$4:$D$1456,"&gt;="&amp;($B212+60),Events!$D$4:$D$1456,"&lt;="&amp;($B212+74))&gt;0,1,0)</x:f>
        <x:v>1</x:v>
      </x:c>
    </x:row>
    <x:row r="213">
      <x:c r="A213" s="50" t="str">
        <x:f>Members!A213</x:f>
        <x:v>SYN0210</x:v>
      </x:c>
      <x:c r="B213" s="51" t="n">
        <x:f>Members!B213</x:f>
        <x:v>46033</x:v>
      </x:c>
      <x:c r="C213" s="50" t="str">
        <x:f>Members!C213</x:f>
        <x:v>Direct</x:v>
      </x:c>
      <x:c r="D213" s="50" t="n">
        <x:f>IF($B213&lt;='Scorecard'!$B$3-7,1,0)</x:f>
        <x:v>1</x:v>
      </x:c>
      <x:c r="E213" s="50" t="n">
        <x:f>IF(COUNTIFS(Events!$B$4:$B$1456,$A213,Events!$C$4:$C$1456,"coach_contact_completed",Events!$D$4:$D$1456,"&gt;="&amp;($B213+0),Events!$D$4:$D$1456,"&lt;="&amp;($B213+7))&gt;0,1,0)</x:f>
        <x:v>0</x:v>
      </x:c>
      <x:c r="F213" s="50" t="n">
        <x:f>IF($B213&lt;='Scorecard'!$B$3-37,1,0)</x:f>
        <x:v>1</x:v>
      </x:c>
      <x:c r="G213" s="50" t="n">
        <x:f>IF(COUNTIFS(Events!$B$4:$B$1456,$A213,Events!$C$4:$C$1456,"day30_checkin_completed",Events!$D$4:$D$1456,"&gt;="&amp;($B213+28),Events!$D$4:$D$1456,"&lt;="&amp;($B213+37))&gt;0,1,0)</x:f>
        <x:v>1</x:v>
      </x:c>
      <x:c r="H213" s="50" t="n">
        <x:f>IF($B213&lt;='Scorecard'!$B$3-74,1,0)</x:f>
        <x:v>1</x:v>
      </x:c>
      <x:c r="I213" s="50" t="n">
        <x:f>IF(COUNTIFS(Events!$B$4:$B$1456,$A213,Events!$C$4:$C$1456,"day60_activity_observed",Events!$D$4:$D$1456,"&gt;="&amp;($B213+60),Events!$D$4:$D$1456,"&lt;="&amp;($B213+74))&gt;0,1,0)</x:f>
        <x:v>0</x:v>
      </x:c>
    </x:row>
    <x:row r="214">
      <x:c r="A214" s="50" t="str">
        <x:f>Members!A214</x:f>
        <x:v>SYN0211</x:v>
      </x:c>
      <x:c r="B214" s="51" t="n">
        <x:f>Members!B214</x:f>
        <x:v>46064</x:v>
      </x:c>
      <x:c r="C214" s="50" t="str">
        <x:f>Members!C214</x:f>
        <x:v>Direct</x:v>
      </x:c>
      <x:c r="D214" s="50" t="n">
        <x:f>IF($B214&lt;='Scorecard'!$B$3-7,1,0)</x:f>
        <x:v>1</x:v>
      </x:c>
      <x:c r="E214" s="50" t="n">
        <x:f>IF(COUNTIFS(Events!$B$4:$B$1456,$A214,Events!$C$4:$C$1456,"coach_contact_completed",Events!$D$4:$D$1456,"&gt;="&amp;($B214+0),Events!$D$4:$D$1456,"&lt;="&amp;($B214+7))&gt;0,1,0)</x:f>
        <x:v>0</x:v>
      </x:c>
      <x:c r="F214" s="50" t="n">
        <x:f>IF($B214&lt;='Scorecard'!$B$3-37,1,0)</x:f>
        <x:v>1</x:v>
      </x:c>
      <x:c r="G214" s="50" t="n">
        <x:f>IF(COUNTIFS(Events!$B$4:$B$1456,$A214,Events!$C$4:$C$1456,"day30_checkin_completed",Events!$D$4:$D$1456,"&gt;="&amp;($B214+28),Events!$D$4:$D$1456,"&lt;="&amp;($B214+37))&gt;0,1,0)</x:f>
        <x:v>0</x:v>
      </x:c>
      <x:c r="H214" s="50" t="n">
        <x:f>IF($B214&lt;='Scorecard'!$B$3-74,1,0)</x:f>
        <x:v>1</x:v>
      </x:c>
      <x:c r="I214" s="50" t="n">
        <x:f>IF(COUNTIFS(Events!$B$4:$B$1456,$A214,Events!$C$4:$C$1456,"day60_activity_observed",Events!$D$4:$D$1456,"&gt;="&amp;($B214+60),Events!$D$4:$D$1456,"&lt;="&amp;($B214+74))&gt;0,1,0)</x:f>
        <x:v>1</x:v>
      </x:c>
    </x:row>
    <x:row r="215">
      <x:c r="A215" s="50" t="str">
        <x:f>Members!A215</x:f>
        <x:v>SYN0212</x:v>
      </x:c>
      <x:c r="B215" s="51" t="n">
        <x:f>Members!B215</x:f>
        <x:v>46243</x:v>
      </x:c>
      <x:c r="C215" s="50" t="str">
        <x:f>Members!C215</x:f>
        <x:v>Employer</x:v>
      </x:c>
      <x:c r="D215" s="50" t="n">
        <x:f>IF($B215&lt;='Scorecard'!$B$3-7,1,0)</x:f>
        <x:v>1</x:v>
      </x:c>
      <x:c r="E215" s="50" t="n">
        <x:f>IF(COUNTIFS(Events!$B$4:$B$1456,$A215,Events!$C$4:$C$1456,"coach_contact_completed",Events!$D$4:$D$1456,"&gt;="&amp;($B215+0),Events!$D$4:$D$1456,"&lt;="&amp;($B215+7))&gt;0,1,0)</x:f>
        <x:v>1</x:v>
      </x:c>
      <x:c r="F215" s="50" t="n">
        <x:f>IF($B215&lt;='Scorecard'!$B$3-37,1,0)</x:f>
        <x:v>1</x:v>
      </x:c>
      <x:c r="G215" s="50" t="n">
        <x:f>IF(COUNTIFS(Events!$B$4:$B$1456,$A215,Events!$C$4:$C$1456,"day30_checkin_completed",Events!$D$4:$D$1456,"&gt;="&amp;($B215+28),Events!$D$4:$D$1456,"&lt;="&amp;($B215+37))&gt;0,1,0)</x:f>
        <x:v>1</x:v>
      </x:c>
      <x:c r="H215" s="50" t="n">
        <x:f>IF($B215&lt;='Scorecard'!$B$3-74,1,0)</x:f>
        <x:v>0</x:v>
      </x:c>
      <x:c r="I215" s="50" t="n">
        <x:f>IF(COUNTIFS(Events!$B$4:$B$1456,$A215,Events!$C$4:$C$1456,"day60_activity_observed",Events!$D$4:$D$1456,"&gt;="&amp;($B215+60),Events!$D$4:$D$1456,"&lt;="&amp;($B215+74))&gt;0,1,0)</x:f>
        <x:v>0</x:v>
      </x:c>
    </x:row>
    <x:row r="216">
      <x:c r="A216" s="50" t="str">
        <x:f>Members!A216</x:f>
        <x:v>SYN0213</x:v>
      </x:c>
      <x:c r="B216" s="51" t="n">
        <x:f>Members!B216</x:f>
        <x:v>46057</x:v>
      </x:c>
      <x:c r="C216" s="50" t="str">
        <x:f>Members!C216</x:f>
        <x:v>Direct</x:v>
      </x:c>
      <x:c r="D216" s="50" t="n">
        <x:f>IF($B216&lt;='Scorecard'!$B$3-7,1,0)</x:f>
        <x:v>1</x:v>
      </x:c>
      <x:c r="E216" s="50" t="n">
        <x:f>IF(COUNTIFS(Events!$B$4:$B$1456,$A216,Events!$C$4:$C$1456,"coach_contact_completed",Events!$D$4:$D$1456,"&gt;="&amp;($B216+0),Events!$D$4:$D$1456,"&lt;="&amp;($B216+7))&gt;0,1,0)</x:f>
        <x:v>0</x:v>
      </x:c>
      <x:c r="F216" s="50" t="n">
        <x:f>IF($B216&lt;='Scorecard'!$B$3-37,1,0)</x:f>
        <x:v>1</x:v>
      </x:c>
      <x:c r="G216" s="50" t="n">
        <x:f>IF(COUNTIFS(Events!$B$4:$B$1456,$A216,Events!$C$4:$C$1456,"day30_checkin_completed",Events!$D$4:$D$1456,"&gt;="&amp;($B216+28),Events!$D$4:$D$1456,"&lt;="&amp;($B216+37))&gt;0,1,0)</x:f>
        <x:v>0</x:v>
      </x:c>
      <x:c r="H216" s="50" t="n">
        <x:f>IF($B216&lt;='Scorecard'!$B$3-74,1,0)</x:f>
        <x:v>1</x:v>
      </x:c>
      <x:c r="I216" s="50" t="n">
        <x:f>IF(COUNTIFS(Events!$B$4:$B$1456,$A216,Events!$C$4:$C$1456,"day60_activity_observed",Events!$D$4:$D$1456,"&gt;="&amp;($B216+60),Events!$D$4:$D$1456,"&lt;="&amp;($B216+74))&gt;0,1,0)</x:f>
        <x:v>0</x:v>
      </x:c>
    </x:row>
    <x:row r="217">
      <x:c r="A217" s="50" t="str">
        <x:f>Members!A217</x:f>
        <x:v>SYN0214</x:v>
      </x:c>
      <x:c r="B217" s="51" t="n">
        <x:f>Members!B217</x:f>
        <x:v>46143</x:v>
      </x:c>
      <x:c r="C217" s="50" t="str">
        <x:f>Members!C217</x:f>
        <x:v>Direct</x:v>
      </x:c>
      <x:c r="D217" s="50" t="n">
        <x:f>IF($B217&lt;='Scorecard'!$B$3-7,1,0)</x:f>
        <x:v>1</x:v>
      </x:c>
      <x:c r="E217" s="50" t="n">
        <x:f>IF(COUNTIFS(Events!$B$4:$B$1456,$A217,Events!$C$4:$C$1456,"coach_contact_completed",Events!$D$4:$D$1456,"&gt;="&amp;($B217+0),Events!$D$4:$D$1456,"&lt;="&amp;($B217+7))&gt;0,1,0)</x:f>
        <x:v>0</x:v>
      </x:c>
      <x:c r="F217" s="50" t="n">
        <x:f>IF($B217&lt;='Scorecard'!$B$3-37,1,0)</x:f>
        <x:v>1</x:v>
      </x:c>
      <x:c r="G217" s="50" t="n">
        <x:f>IF(COUNTIFS(Events!$B$4:$B$1456,$A217,Events!$C$4:$C$1456,"day30_checkin_completed",Events!$D$4:$D$1456,"&gt;="&amp;($B217+28),Events!$D$4:$D$1456,"&lt;="&amp;($B217+37))&gt;0,1,0)</x:f>
        <x:v>1</x:v>
      </x:c>
      <x:c r="H217" s="50" t="n">
        <x:f>IF($B217&lt;='Scorecard'!$B$3-74,1,0)</x:f>
        <x:v>1</x:v>
      </x:c>
      <x:c r="I217" s="50" t="n">
        <x:f>IF(COUNTIFS(Events!$B$4:$B$1456,$A217,Events!$C$4:$C$1456,"day60_activity_observed",Events!$D$4:$D$1456,"&gt;="&amp;($B217+60),Events!$D$4:$D$1456,"&lt;="&amp;($B217+74))&gt;0,1,0)</x:f>
        <x:v>0</x:v>
      </x:c>
    </x:row>
    <x:row r="218">
      <x:c r="A218" s="50" t="str">
        <x:f>Members!A218</x:f>
        <x:v>SYN0215</x:v>
      </x:c>
      <x:c r="B218" s="51" t="n">
        <x:f>Members!B218</x:f>
        <x:v>46137</x:v>
      </x:c>
      <x:c r="C218" s="50" t="str">
        <x:f>Members!C218</x:f>
        <x:v>Direct</x:v>
      </x:c>
      <x:c r="D218" s="50" t="n">
        <x:f>IF($B218&lt;='Scorecard'!$B$3-7,1,0)</x:f>
        <x:v>1</x:v>
      </x:c>
      <x:c r="E218" s="50" t="n">
        <x:f>IF(COUNTIFS(Events!$B$4:$B$1456,$A218,Events!$C$4:$C$1456,"coach_contact_completed",Events!$D$4:$D$1456,"&gt;="&amp;($B218+0),Events!$D$4:$D$1456,"&lt;="&amp;($B218+7))&gt;0,1,0)</x:f>
        <x:v>1</x:v>
      </x:c>
      <x:c r="F218" s="50" t="n">
        <x:f>IF($B218&lt;='Scorecard'!$B$3-37,1,0)</x:f>
        <x:v>1</x:v>
      </x:c>
      <x:c r="G218" s="50" t="n">
        <x:f>IF(COUNTIFS(Events!$B$4:$B$1456,$A218,Events!$C$4:$C$1456,"day30_checkin_completed",Events!$D$4:$D$1456,"&gt;="&amp;($B218+28),Events!$D$4:$D$1456,"&lt;="&amp;($B218+37))&gt;0,1,0)</x:f>
        <x:v>1</x:v>
      </x:c>
      <x:c r="H218" s="50" t="n">
        <x:f>IF($B218&lt;='Scorecard'!$B$3-74,1,0)</x:f>
        <x:v>1</x:v>
      </x:c>
      <x:c r="I218" s="50" t="n">
        <x:f>IF(COUNTIFS(Events!$B$4:$B$1456,$A218,Events!$C$4:$C$1456,"day60_activity_observed",Events!$D$4:$D$1456,"&gt;="&amp;($B218+60),Events!$D$4:$D$1456,"&lt;="&amp;($B218+74))&gt;0,1,0)</x:f>
        <x:v>1</x:v>
      </x:c>
    </x:row>
    <x:row r="219">
      <x:c r="A219" s="50" t="str">
        <x:f>Members!A219</x:f>
        <x:v>SYN0216</x:v>
      </x:c>
      <x:c r="B219" s="51" t="n">
        <x:f>Members!B219</x:f>
        <x:v>46086</x:v>
      </x:c>
      <x:c r="C219" s="50" t="str">
        <x:f>Members!C219</x:f>
        <x:v>Direct</x:v>
      </x:c>
      <x:c r="D219" s="50" t="n">
        <x:f>IF($B219&lt;='Scorecard'!$B$3-7,1,0)</x:f>
        <x:v>1</x:v>
      </x:c>
      <x:c r="E219" s="50" t="n">
        <x:f>IF(COUNTIFS(Events!$B$4:$B$1456,$A219,Events!$C$4:$C$1456,"coach_contact_completed",Events!$D$4:$D$1456,"&gt;="&amp;($B219+0),Events!$D$4:$D$1456,"&lt;="&amp;($B219+7))&gt;0,1,0)</x:f>
        <x:v>0</x:v>
      </x:c>
      <x:c r="F219" s="50" t="n">
        <x:f>IF($B219&lt;='Scorecard'!$B$3-37,1,0)</x:f>
        <x:v>1</x:v>
      </x:c>
      <x:c r="G219" s="50" t="n">
        <x:f>IF(COUNTIFS(Events!$B$4:$B$1456,$A219,Events!$C$4:$C$1456,"day30_checkin_completed",Events!$D$4:$D$1456,"&gt;="&amp;($B219+28),Events!$D$4:$D$1456,"&lt;="&amp;($B219+37))&gt;0,1,0)</x:f>
        <x:v>1</x:v>
      </x:c>
      <x:c r="H219" s="50" t="n">
        <x:f>IF($B219&lt;='Scorecard'!$B$3-74,1,0)</x:f>
        <x:v>1</x:v>
      </x:c>
      <x:c r="I219" s="50" t="n">
        <x:f>IF(COUNTIFS(Events!$B$4:$B$1456,$A219,Events!$C$4:$C$1456,"day60_activity_observed",Events!$D$4:$D$1456,"&gt;="&amp;($B219+60),Events!$D$4:$D$1456,"&lt;="&amp;($B219+74))&gt;0,1,0)</x:f>
        <x:v>0</x:v>
      </x:c>
    </x:row>
    <x:row r="220">
      <x:c r="A220" s="50" t="str">
        <x:f>Members!A220</x:f>
        <x:v>SYN0217</x:v>
      </x:c>
      <x:c r="B220" s="51" t="n">
        <x:f>Members!B220</x:f>
        <x:v>46231</x:v>
      </x:c>
      <x:c r="C220" s="50" t="str">
        <x:f>Members!C220</x:f>
        <x:v>Direct</x:v>
      </x:c>
      <x:c r="D220" s="50" t="n">
        <x:f>IF($B220&lt;='Scorecard'!$B$3-7,1,0)</x:f>
        <x:v>1</x:v>
      </x:c>
      <x:c r="E220" s="50" t="n">
        <x:f>IF(COUNTIFS(Events!$B$4:$B$1456,$A220,Events!$C$4:$C$1456,"coach_contact_completed",Events!$D$4:$D$1456,"&gt;="&amp;($B220+0),Events!$D$4:$D$1456,"&lt;="&amp;($B220+7))&gt;0,1,0)</x:f>
        <x:v>1</x:v>
      </x:c>
      <x:c r="F220" s="50" t="n">
        <x:f>IF($B220&lt;='Scorecard'!$B$3-37,1,0)</x:f>
        <x:v>1</x:v>
      </x:c>
      <x:c r="G220" s="50" t="n">
        <x:f>IF(COUNTIFS(Events!$B$4:$B$1456,$A220,Events!$C$4:$C$1456,"day30_checkin_completed",Events!$D$4:$D$1456,"&gt;="&amp;($B220+28),Events!$D$4:$D$1456,"&lt;="&amp;($B220+37))&gt;0,1,0)</x:f>
        <x:v>1</x:v>
      </x:c>
      <x:c r="H220" s="50" t="n">
        <x:f>IF($B220&lt;='Scorecard'!$B$3-74,1,0)</x:f>
        <x:v>0</x:v>
      </x:c>
      <x:c r="I220" s="50" t="n">
        <x:f>IF(COUNTIFS(Events!$B$4:$B$1456,$A220,Events!$C$4:$C$1456,"day60_activity_observed",Events!$D$4:$D$1456,"&gt;="&amp;($B220+60),Events!$D$4:$D$1456,"&lt;="&amp;($B220+74))&gt;0,1,0)</x:f>
        <x:v>0</x:v>
      </x:c>
    </x:row>
    <x:row r="221">
      <x:c r="A221" s="50" t="str">
        <x:f>Members!A221</x:f>
        <x:v>SYN0218</x:v>
      </x:c>
      <x:c r="B221" s="51" t="n">
        <x:f>Members!B221</x:f>
        <x:v>46256</x:v>
      </x:c>
      <x:c r="C221" s="50" t="str">
        <x:f>Members!C221</x:f>
        <x:v>Direct</x:v>
      </x:c>
      <x:c r="D221" s="50" t="n">
        <x:f>IF($B221&lt;='Scorecard'!$B$3-7,1,0)</x:f>
        <x:v>1</x:v>
      </x:c>
      <x:c r="E221" s="50" t="n">
        <x:f>IF(COUNTIFS(Events!$B$4:$B$1456,$A221,Events!$C$4:$C$1456,"coach_contact_completed",Events!$D$4:$D$1456,"&gt;="&amp;($B221+0),Events!$D$4:$D$1456,"&lt;="&amp;($B221+7))&gt;0,1,0)</x:f>
        <x:v>0</x:v>
      </x:c>
      <x:c r="F221" s="50" t="n">
        <x:f>IF($B221&lt;='Scorecard'!$B$3-37,1,0)</x:f>
        <x:v>1</x:v>
      </x:c>
      <x:c r="G221" s="50" t="n">
        <x:f>IF(COUNTIFS(Events!$B$4:$B$1456,$A221,Events!$C$4:$C$1456,"day30_checkin_completed",Events!$D$4:$D$1456,"&gt;="&amp;($B221+28),Events!$D$4:$D$1456,"&lt;="&amp;($B221+37))&gt;0,1,0)</x:f>
        <x:v>1</x:v>
      </x:c>
      <x:c r="H221" s="50" t="n">
        <x:f>IF($B221&lt;='Scorecard'!$B$3-74,1,0)</x:f>
        <x:v>0</x:v>
      </x:c>
      <x:c r="I221" s="50" t="n">
        <x:f>IF(COUNTIFS(Events!$B$4:$B$1456,$A221,Events!$C$4:$C$1456,"day60_activity_observed",Events!$D$4:$D$1456,"&gt;="&amp;($B221+60),Events!$D$4:$D$1456,"&lt;="&amp;($B221+74))&gt;0,1,0)</x:f>
        <x:v>0</x:v>
      </x:c>
    </x:row>
    <x:row r="222">
      <x:c r="A222" s="50" t="str">
        <x:f>Members!A222</x:f>
        <x:v>SYN0219</x:v>
      </x:c>
      <x:c r="B222" s="51" t="n">
        <x:f>Members!B222</x:f>
        <x:v>46195</x:v>
      </x:c>
      <x:c r="C222" s="50" t="str">
        <x:f>Members!C222</x:f>
        <x:v>Direct</x:v>
      </x:c>
      <x:c r="D222" s="50" t="n">
        <x:f>IF($B222&lt;='Scorecard'!$B$3-7,1,0)</x:f>
        <x:v>1</x:v>
      </x:c>
      <x:c r="E222" s="50" t="n">
        <x:f>IF(COUNTIFS(Events!$B$4:$B$1456,$A222,Events!$C$4:$C$1456,"coach_contact_completed",Events!$D$4:$D$1456,"&gt;="&amp;($B222+0),Events!$D$4:$D$1456,"&lt;="&amp;($B222+7))&gt;0,1,0)</x:f>
        <x:v>0</x:v>
      </x:c>
      <x:c r="F222" s="50" t="n">
        <x:f>IF($B222&lt;='Scorecard'!$B$3-37,1,0)</x:f>
        <x:v>1</x:v>
      </x:c>
      <x:c r="G222" s="50" t="n">
        <x:f>IF(COUNTIFS(Events!$B$4:$B$1456,$A222,Events!$C$4:$C$1456,"day30_checkin_completed",Events!$D$4:$D$1456,"&gt;="&amp;($B222+28),Events!$D$4:$D$1456,"&lt;="&amp;($B222+37))&gt;0,1,0)</x:f>
        <x:v>1</x:v>
      </x:c>
      <x:c r="H222" s="50" t="n">
        <x:f>IF($B222&lt;='Scorecard'!$B$3-74,1,0)</x:f>
        <x:v>1</x:v>
      </x:c>
      <x:c r="I222" s="50" t="n">
        <x:f>IF(COUNTIFS(Events!$B$4:$B$1456,$A222,Events!$C$4:$C$1456,"day60_activity_observed",Events!$D$4:$D$1456,"&gt;="&amp;($B222+60),Events!$D$4:$D$1456,"&lt;="&amp;($B222+74))&gt;0,1,0)</x:f>
        <x:v>0</x:v>
      </x:c>
    </x:row>
    <x:row r="223">
      <x:c r="A223" s="50" t="str">
        <x:f>Members!A223</x:f>
        <x:v>SYN0220</x:v>
      </x:c>
      <x:c r="B223" s="51" t="n">
        <x:f>Members!B223</x:f>
        <x:v>46072</x:v>
      </x:c>
      <x:c r="C223" s="50" t="str">
        <x:f>Members!C223</x:f>
        <x:v>Employer</x:v>
      </x:c>
      <x:c r="D223" s="50" t="n">
        <x:f>IF($B223&lt;='Scorecard'!$B$3-7,1,0)</x:f>
        <x:v>1</x:v>
      </x:c>
      <x:c r="E223" s="50" t="n">
        <x:f>IF(COUNTIFS(Events!$B$4:$B$1456,$A223,Events!$C$4:$C$1456,"coach_contact_completed",Events!$D$4:$D$1456,"&gt;="&amp;($B223+0),Events!$D$4:$D$1456,"&lt;="&amp;($B223+7))&gt;0,1,0)</x:f>
        <x:v>1</x:v>
      </x:c>
      <x:c r="F223" s="50" t="n">
        <x:f>IF($B223&lt;='Scorecard'!$B$3-37,1,0)</x:f>
        <x:v>1</x:v>
      </x:c>
      <x:c r="G223" s="50" t="n">
        <x:f>IF(COUNTIFS(Events!$B$4:$B$1456,$A223,Events!$C$4:$C$1456,"day30_checkin_completed",Events!$D$4:$D$1456,"&gt;="&amp;($B223+28),Events!$D$4:$D$1456,"&lt;="&amp;($B223+37))&gt;0,1,0)</x:f>
        <x:v>0</x:v>
      </x:c>
      <x:c r="H223" s="50" t="n">
        <x:f>IF($B223&lt;='Scorecard'!$B$3-74,1,0)</x:f>
        <x:v>1</x:v>
      </x:c>
      <x:c r="I223" s="50" t="n">
        <x:f>IF(COUNTIFS(Events!$B$4:$B$1456,$A223,Events!$C$4:$C$1456,"day60_activity_observed",Events!$D$4:$D$1456,"&gt;="&amp;($B223+60),Events!$D$4:$D$1456,"&lt;="&amp;($B223+74))&gt;0,1,0)</x:f>
        <x:v>1</x:v>
      </x:c>
    </x:row>
    <x:row r="224">
      <x:c r="A224" s="50" t="str">
        <x:f>Members!A224</x:f>
        <x:v>SYN0221</x:v>
      </x:c>
      <x:c r="B224" s="51" t="n">
        <x:f>Members!B224</x:f>
        <x:v>46100</x:v>
      </x:c>
      <x:c r="C224" s="50" t="str">
        <x:f>Members!C224</x:f>
        <x:v>Direct</x:v>
      </x:c>
      <x:c r="D224" s="50" t="n">
        <x:f>IF($B224&lt;='Scorecard'!$B$3-7,1,0)</x:f>
        <x:v>1</x:v>
      </x:c>
      <x:c r="E224" s="50" t="n">
        <x:f>IF(COUNTIFS(Events!$B$4:$B$1456,$A224,Events!$C$4:$C$1456,"coach_contact_completed",Events!$D$4:$D$1456,"&gt;="&amp;($B224+0),Events!$D$4:$D$1456,"&lt;="&amp;($B224+7))&gt;0,1,0)</x:f>
        <x:v>0</x:v>
      </x:c>
      <x:c r="F224" s="50" t="n">
        <x:f>IF($B224&lt;='Scorecard'!$B$3-37,1,0)</x:f>
        <x:v>1</x:v>
      </x:c>
      <x:c r="G224" s="50" t="n">
        <x:f>IF(COUNTIFS(Events!$B$4:$B$1456,$A224,Events!$C$4:$C$1456,"day30_checkin_completed",Events!$D$4:$D$1456,"&gt;="&amp;($B224+28),Events!$D$4:$D$1456,"&lt;="&amp;($B224+37))&gt;0,1,0)</x:f>
        <x:v>0</x:v>
      </x:c>
      <x:c r="H224" s="50" t="n">
        <x:f>IF($B224&lt;='Scorecard'!$B$3-74,1,0)</x:f>
        <x:v>1</x:v>
      </x:c>
      <x:c r="I224" s="50" t="n">
        <x:f>IF(COUNTIFS(Events!$B$4:$B$1456,$A224,Events!$C$4:$C$1456,"day60_activity_observed",Events!$D$4:$D$1456,"&gt;="&amp;($B224+60),Events!$D$4:$D$1456,"&lt;="&amp;($B224+74))&gt;0,1,0)</x:f>
        <x:v>1</x:v>
      </x:c>
    </x:row>
    <x:row r="225">
      <x:c r="A225" s="50" t="str">
        <x:f>Members!A225</x:f>
        <x:v>SYN0222</x:v>
      </x:c>
      <x:c r="B225" s="51" t="n">
        <x:f>Members!B225</x:f>
        <x:v>46177</x:v>
      </x:c>
      <x:c r="C225" s="50" t="str">
        <x:f>Members!C225</x:f>
        <x:v>Direct</x:v>
      </x:c>
      <x:c r="D225" s="50" t="n">
        <x:f>IF($B225&lt;='Scorecard'!$B$3-7,1,0)</x:f>
        <x:v>1</x:v>
      </x:c>
      <x:c r="E225" s="50" t="n">
        <x:f>IF(COUNTIFS(Events!$B$4:$B$1456,$A225,Events!$C$4:$C$1456,"coach_contact_completed",Events!$D$4:$D$1456,"&gt;="&amp;($B225+0),Events!$D$4:$D$1456,"&lt;="&amp;($B225+7))&gt;0,1,0)</x:f>
        <x:v>1</x:v>
      </x:c>
      <x:c r="F225" s="50" t="n">
        <x:f>IF($B225&lt;='Scorecard'!$B$3-37,1,0)</x:f>
        <x:v>1</x:v>
      </x:c>
      <x:c r="G225" s="50" t="n">
        <x:f>IF(COUNTIFS(Events!$B$4:$B$1456,$A225,Events!$C$4:$C$1456,"day30_checkin_completed",Events!$D$4:$D$1456,"&gt;="&amp;($B225+28),Events!$D$4:$D$1456,"&lt;="&amp;($B225+37))&gt;0,1,0)</x:f>
        <x:v>1</x:v>
      </x:c>
      <x:c r="H225" s="50" t="n">
        <x:f>IF($B225&lt;='Scorecard'!$B$3-74,1,0)</x:f>
        <x:v>1</x:v>
      </x:c>
      <x:c r="I225" s="50" t="n">
        <x:f>IF(COUNTIFS(Events!$B$4:$B$1456,$A225,Events!$C$4:$C$1456,"day60_activity_observed",Events!$D$4:$D$1456,"&gt;="&amp;($B225+60),Events!$D$4:$D$1456,"&lt;="&amp;($B225+74))&gt;0,1,0)</x:f>
        <x:v>1</x:v>
      </x:c>
    </x:row>
    <x:row r="226">
      <x:c r="A226" s="50" t="str">
        <x:f>Members!A226</x:f>
        <x:v>SYN0223</x:v>
      </x:c>
      <x:c r="B226" s="51" t="n">
        <x:f>Members!B226</x:f>
        <x:v>46166</x:v>
      </x:c>
      <x:c r="C226" s="50" t="str">
        <x:f>Members!C226</x:f>
        <x:v>Direct</x:v>
      </x:c>
      <x:c r="D226" s="50" t="n">
        <x:f>IF($B226&lt;='Scorecard'!$B$3-7,1,0)</x:f>
        <x:v>1</x:v>
      </x:c>
      <x:c r="E226" s="50" t="n">
        <x:f>IF(COUNTIFS(Events!$B$4:$B$1456,$A226,Events!$C$4:$C$1456,"coach_contact_completed",Events!$D$4:$D$1456,"&gt;="&amp;($B226+0),Events!$D$4:$D$1456,"&lt;="&amp;($B226+7))&gt;0,1,0)</x:f>
        <x:v>1</x:v>
      </x:c>
      <x:c r="F226" s="50" t="n">
        <x:f>IF($B226&lt;='Scorecard'!$B$3-37,1,0)</x:f>
        <x:v>1</x:v>
      </x:c>
      <x:c r="G226" s="50" t="n">
        <x:f>IF(COUNTIFS(Events!$B$4:$B$1456,$A226,Events!$C$4:$C$1456,"day30_checkin_completed",Events!$D$4:$D$1456,"&gt;="&amp;($B226+28),Events!$D$4:$D$1456,"&lt;="&amp;($B226+37))&gt;0,1,0)</x:f>
        <x:v>1</x:v>
      </x:c>
      <x:c r="H226" s="50" t="n">
        <x:f>IF($B226&lt;='Scorecard'!$B$3-74,1,0)</x:f>
        <x:v>1</x:v>
      </x:c>
      <x:c r="I226" s="50" t="n">
        <x:f>IF(COUNTIFS(Events!$B$4:$B$1456,$A226,Events!$C$4:$C$1456,"day60_activity_observed",Events!$D$4:$D$1456,"&gt;="&amp;($B226+60),Events!$D$4:$D$1456,"&lt;="&amp;($B226+74))&gt;0,1,0)</x:f>
        <x:v>0</x:v>
      </x:c>
    </x:row>
    <x:row r="227">
      <x:c r="A227" s="50" t="str">
        <x:f>Members!A227</x:f>
        <x:v>SYN0224</x:v>
      </x:c>
      <x:c r="B227" s="51" t="n">
        <x:f>Members!B227</x:f>
        <x:v>46078</x:v>
      </x:c>
      <x:c r="C227" s="50" t="str">
        <x:f>Members!C227</x:f>
        <x:v>Employer</x:v>
      </x:c>
      <x:c r="D227" s="50" t="n">
        <x:f>IF($B227&lt;='Scorecard'!$B$3-7,1,0)</x:f>
        <x:v>1</x:v>
      </x:c>
      <x:c r="E227" s="50" t="n">
        <x:f>IF(COUNTIFS(Events!$B$4:$B$1456,$A227,Events!$C$4:$C$1456,"coach_contact_completed",Events!$D$4:$D$1456,"&gt;="&amp;($B227+0),Events!$D$4:$D$1456,"&lt;="&amp;($B227+7))&gt;0,1,0)</x:f>
        <x:v>1</x:v>
      </x:c>
      <x:c r="F227" s="50" t="n">
        <x:f>IF($B227&lt;='Scorecard'!$B$3-37,1,0)</x:f>
        <x:v>1</x:v>
      </x:c>
      <x:c r="G227" s="50" t="n">
        <x:f>IF(COUNTIFS(Events!$B$4:$B$1456,$A227,Events!$C$4:$C$1456,"day30_checkin_completed",Events!$D$4:$D$1456,"&gt;="&amp;($B227+28),Events!$D$4:$D$1456,"&lt;="&amp;($B227+37))&gt;0,1,0)</x:f>
        <x:v>1</x:v>
      </x:c>
      <x:c r="H227" s="50" t="n">
        <x:f>IF($B227&lt;='Scorecard'!$B$3-74,1,0)</x:f>
        <x:v>1</x:v>
      </x:c>
      <x:c r="I227" s="50" t="n">
        <x:f>IF(COUNTIFS(Events!$B$4:$B$1456,$A227,Events!$C$4:$C$1456,"day60_activity_observed",Events!$D$4:$D$1456,"&gt;="&amp;($B227+60),Events!$D$4:$D$1456,"&lt;="&amp;($B227+74))&gt;0,1,0)</x:f>
        <x:v>0</x:v>
      </x:c>
    </x:row>
    <x:row r="228">
      <x:c r="A228" s="50" t="str">
        <x:f>Members!A228</x:f>
        <x:v>SYN0225</x:v>
      </x:c>
      <x:c r="B228" s="51" t="n">
        <x:f>Members!B228</x:f>
        <x:v>46198</x:v>
      </x:c>
      <x:c r="C228" s="50" t="str">
        <x:f>Members!C228</x:f>
        <x:v>Direct</x:v>
      </x:c>
      <x:c r="D228" s="50" t="n">
        <x:f>IF($B228&lt;='Scorecard'!$B$3-7,1,0)</x:f>
        <x:v>1</x:v>
      </x:c>
      <x:c r="E228" s="50" t="n">
        <x:f>IF(COUNTIFS(Events!$B$4:$B$1456,$A228,Events!$C$4:$C$1456,"coach_contact_completed",Events!$D$4:$D$1456,"&gt;="&amp;($B228+0),Events!$D$4:$D$1456,"&lt;="&amp;($B228+7))&gt;0,1,0)</x:f>
        <x:v>1</x:v>
      </x:c>
      <x:c r="F228" s="50" t="n">
        <x:f>IF($B228&lt;='Scorecard'!$B$3-37,1,0)</x:f>
        <x:v>1</x:v>
      </x:c>
      <x:c r="G228" s="50" t="n">
        <x:f>IF(COUNTIFS(Events!$B$4:$B$1456,$A228,Events!$C$4:$C$1456,"day30_checkin_completed",Events!$D$4:$D$1456,"&gt;="&amp;($B228+28),Events!$D$4:$D$1456,"&lt;="&amp;($B228+37))&gt;0,1,0)</x:f>
        <x:v>1</x:v>
      </x:c>
      <x:c r="H228" s="50" t="n">
        <x:f>IF($B228&lt;='Scorecard'!$B$3-74,1,0)</x:f>
        <x:v>1</x:v>
      </x:c>
      <x:c r="I228" s="50" t="n">
        <x:f>IF(COUNTIFS(Events!$B$4:$B$1456,$A228,Events!$C$4:$C$1456,"day60_activity_observed",Events!$D$4:$D$1456,"&gt;="&amp;($B228+60),Events!$D$4:$D$1456,"&lt;="&amp;($B228+74))&gt;0,1,0)</x:f>
        <x:v>1</x:v>
      </x:c>
    </x:row>
    <x:row r="229">
      <x:c r="A229" s="50" t="str">
        <x:f>Members!A229</x:f>
        <x:v>SYN0226</x:v>
      </x:c>
      <x:c r="B229" s="51" t="n">
        <x:f>Members!B229</x:f>
        <x:v>46177</x:v>
      </x:c>
      <x:c r="C229" s="50" t="str">
        <x:f>Members!C229</x:f>
        <x:v>Direct</x:v>
      </x:c>
      <x:c r="D229" s="50" t="n">
        <x:f>IF($B229&lt;='Scorecard'!$B$3-7,1,0)</x:f>
        <x:v>1</x:v>
      </x:c>
      <x:c r="E229" s="50" t="n">
        <x:f>IF(COUNTIFS(Events!$B$4:$B$1456,$A229,Events!$C$4:$C$1456,"coach_contact_completed",Events!$D$4:$D$1456,"&gt;="&amp;($B229+0),Events!$D$4:$D$1456,"&lt;="&amp;($B229+7))&gt;0,1,0)</x:f>
        <x:v>0</x:v>
      </x:c>
      <x:c r="F229" s="50" t="n">
        <x:f>IF($B229&lt;='Scorecard'!$B$3-37,1,0)</x:f>
        <x:v>1</x:v>
      </x:c>
      <x:c r="G229" s="50" t="n">
        <x:f>IF(COUNTIFS(Events!$B$4:$B$1456,$A229,Events!$C$4:$C$1456,"day30_checkin_completed",Events!$D$4:$D$1456,"&gt;="&amp;($B229+28),Events!$D$4:$D$1456,"&lt;="&amp;($B229+37))&gt;0,1,0)</x:f>
        <x:v>0</x:v>
      </x:c>
      <x:c r="H229" s="50" t="n">
        <x:f>IF($B229&lt;='Scorecard'!$B$3-74,1,0)</x:f>
        <x:v>1</x:v>
      </x:c>
      <x:c r="I229" s="50" t="n">
        <x:f>IF(COUNTIFS(Events!$B$4:$B$1456,$A229,Events!$C$4:$C$1456,"day60_activity_observed",Events!$D$4:$D$1456,"&gt;="&amp;($B229+60),Events!$D$4:$D$1456,"&lt;="&amp;($B229+74))&gt;0,1,0)</x:f>
        <x:v>1</x:v>
      </x:c>
    </x:row>
    <x:row r="230">
      <x:c r="A230" s="50" t="str">
        <x:f>Members!A230</x:f>
        <x:v>SYN0227</x:v>
      </x:c>
      <x:c r="B230" s="51" t="n">
        <x:f>Members!B230</x:f>
        <x:v>46118</x:v>
      </x:c>
      <x:c r="C230" s="50" t="str">
        <x:f>Members!C230</x:f>
        <x:v>Employer</x:v>
      </x:c>
      <x:c r="D230" s="50" t="n">
        <x:f>IF($B230&lt;='Scorecard'!$B$3-7,1,0)</x:f>
        <x:v>1</x:v>
      </x:c>
      <x:c r="E230" s="50" t="n">
        <x:f>IF(COUNTIFS(Events!$B$4:$B$1456,$A230,Events!$C$4:$C$1456,"coach_contact_completed",Events!$D$4:$D$1456,"&gt;="&amp;($B230+0),Events!$D$4:$D$1456,"&lt;="&amp;($B230+7))&gt;0,1,0)</x:f>
        <x:v>0</x:v>
      </x:c>
      <x:c r="F230" s="50" t="n">
        <x:f>IF($B230&lt;='Scorecard'!$B$3-37,1,0)</x:f>
        <x:v>1</x:v>
      </x:c>
      <x:c r="G230" s="50" t="n">
        <x:f>IF(COUNTIFS(Events!$B$4:$B$1456,$A230,Events!$C$4:$C$1456,"day30_checkin_completed",Events!$D$4:$D$1456,"&gt;="&amp;($B230+28),Events!$D$4:$D$1456,"&lt;="&amp;($B230+37))&gt;0,1,0)</x:f>
        <x:v>1</x:v>
      </x:c>
      <x:c r="H230" s="50" t="n">
        <x:f>IF($B230&lt;='Scorecard'!$B$3-74,1,0)</x:f>
        <x:v>1</x:v>
      </x:c>
      <x:c r="I230" s="50" t="n">
        <x:f>IF(COUNTIFS(Events!$B$4:$B$1456,$A230,Events!$C$4:$C$1456,"day60_activity_observed",Events!$D$4:$D$1456,"&gt;="&amp;($B230+60),Events!$D$4:$D$1456,"&lt;="&amp;($B230+74))&gt;0,1,0)</x:f>
        <x:v>1</x:v>
      </x:c>
    </x:row>
    <x:row r="231">
      <x:c r="A231" s="50" t="str">
        <x:f>Members!A231</x:f>
        <x:v>SYN0228</x:v>
      </x:c>
      <x:c r="B231" s="51" t="n">
        <x:f>Members!B231</x:f>
        <x:v>46073</x:v>
      </x:c>
      <x:c r="C231" s="50" t="str">
        <x:f>Members!C231</x:f>
        <x:v>Direct</x:v>
      </x:c>
      <x:c r="D231" s="50" t="n">
        <x:f>IF($B231&lt;='Scorecard'!$B$3-7,1,0)</x:f>
        <x:v>1</x:v>
      </x:c>
      <x:c r="E231" s="50" t="n">
        <x:f>IF(COUNTIFS(Events!$B$4:$B$1456,$A231,Events!$C$4:$C$1456,"coach_contact_completed",Events!$D$4:$D$1456,"&gt;="&amp;($B231+0),Events!$D$4:$D$1456,"&lt;="&amp;($B231+7))&gt;0,1,0)</x:f>
        <x:v>0</x:v>
      </x:c>
      <x:c r="F231" s="50" t="n">
        <x:f>IF($B231&lt;='Scorecard'!$B$3-37,1,0)</x:f>
        <x:v>1</x:v>
      </x:c>
      <x:c r="G231" s="50" t="n">
        <x:f>IF(COUNTIFS(Events!$B$4:$B$1456,$A231,Events!$C$4:$C$1456,"day30_checkin_completed",Events!$D$4:$D$1456,"&gt;="&amp;($B231+28),Events!$D$4:$D$1456,"&lt;="&amp;($B231+37))&gt;0,1,0)</x:f>
        <x:v>1</x:v>
      </x:c>
      <x:c r="H231" s="50" t="n">
        <x:f>IF($B231&lt;='Scorecard'!$B$3-74,1,0)</x:f>
        <x:v>1</x:v>
      </x:c>
      <x:c r="I231" s="50" t="n">
        <x:f>IF(COUNTIFS(Events!$B$4:$B$1456,$A231,Events!$C$4:$C$1456,"day60_activity_observed",Events!$D$4:$D$1456,"&gt;="&amp;($B231+60),Events!$D$4:$D$1456,"&lt;="&amp;($B231+74))&gt;0,1,0)</x:f>
        <x:v>1</x:v>
      </x:c>
    </x:row>
    <x:row r="232">
      <x:c r="A232" s="50" t="str">
        <x:f>Members!A232</x:f>
        <x:v>SYN0229</x:v>
      </x:c>
      <x:c r="B232" s="51" t="n">
        <x:f>Members!B232</x:f>
        <x:v>46148</x:v>
      </x:c>
      <x:c r="C232" s="50" t="str">
        <x:f>Members!C232</x:f>
        <x:v>Direct</x:v>
      </x:c>
      <x:c r="D232" s="50" t="n">
        <x:f>IF($B232&lt;='Scorecard'!$B$3-7,1,0)</x:f>
        <x:v>1</x:v>
      </x:c>
      <x:c r="E232" s="50" t="n">
        <x:f>IF(COUNTIFS(Events!$B$4:$B$1456,$A232,Events!$C$4:$C$1456,"coach_contact_completed",Events!$D$4:$D$1456,"&gt;="&amp;($B232+0),Events!$D$4:$D$1456,"&lt;="&amp;($B232+7))&gt;0,1,0)</x:f>
        <x:v>1</x:v>
      </x:c>
      <x:c r="F232" s="50" t="n">
        <x:f>IF($B232&lt;='Scorecard'!$B$3-37,1,0)</x:f>
        <x:v>1</x:v>
      </x:c>
      <x:c r="G232" s="50" t="n">
        <x:f>IF(COUNTIFS(Events!$B$4:$B$1456,$A232,Events!$C$4:$C$1456,"day30_checkin_completed",Events!$D$4:$D$1456,"&gt;="&amp;($B232+28),Events!$D$4:$D$1456,"&lt;="&amp;($B232+37))&gt;0,1,0)</x:f>
        <x:v>1</x:v>
      </x:c>
      <x:c r="H232" s="50" t="n">
        <x:f>IF($B232&lt;='Scorecard'!$B$3-74,1,0)</x:f>
        <x:v>1</x:v>
      </x:c>
      <x:c r="I232" s="50" t="n">
        <x:f>IF(COUNTIFS(Events!$B$4:$B$1456,$A232,Events!$C$4:$C$1456,"day60_activity_observed",Events!$D$4:$D$1456,"&gt;="&amp;($B232+60),Events!$D$4:$D$1456,"&lt;="&amp;($B232+74))&gt;0,1,0)</x:f>
        <x:v>1</x:v>
      </x:c>
    </x:row>
    <x:row r="233">
      <x:c r="A233" s="50" t="str">
        <x:f>Members!A233</x:f>
        <x:v>SYN0230</x:v>
      </x:c>
      <x:c r="B233" s="51" t="n">
        <x:f>Members!B233</x:f>
        <x:v>46100</x:v>
      </x:c>
      <x:c r="C233" s="50" t="str">
        <x:f>Members!C233</x:f>
        <x:v>Direct</x:v>
      </x:c>
      <x:c r="D233" s="50" t="n">
        <x:f>IF($B233&lt;='Scorecard'!$B$3-7,1,0)</x:f>
        <x:v>1</x:v>
      </x:c>
      <x:c r="E233" s="50" t="n">
        <x:f>IF(COUNTIFS(Events!$B$4:$B$1456,$A233,Events!$C$4:$C$1456,"coach_contact_completed",Events!$D$4:$D$1456,"&gt;="&amp;($B233+0),Events!$D$4:$D$1456,"&lt;="&amp;($B233+7))&gt;0,1,0)</x:f>
        <x:v>0</x:v>
      </x:c>
      <x:c r="F233" s="50" t="n">
        <x:f>IF($B233&lt;='Scorecard'!$B$3-37,1,0)</x:f>
        <x:v>1</x:v>
      </x:c>
      <x:c r="G233" s="50" t="n">
        <x:f>IF(COUNTIFS(Events!$B$4:$B$1456,$A233,Events!$C$4:$C$1456,"day30_checkin_completed",Events!$D$4:$D$1456,"&gt;="&amp;($B233+28),Events!$D$4:$D$1456,"&lt;="&amp;($B233+37))&gt;0,1,0)</x:f>
        <x:v>1</x:v>
      </x:c>
      <x:c r="H233" s="50" t="n">
        <x:f>IF($B233&lt;='Scorecard'!$B$3-74,1,0)</x:f>
        <x:v>1</x:v>
      </x:c>
      <x:c r="I233" s="50" t="n">
        <x:f>IF(COUNTIFS(Events!$B$4:$B$1456,$A233,Events!$C$4:$C$1456,"day60_activity_observed",Events!$D$4:$D$1456,"&gt;="&amp;($B233+60),Events!$D$4:$D$1456,"&lt;="&amp;($B233+74))&gt;0,1,0)</x:f>
        <x:v>0</x:v>
      </x:c>
    </x:row>
    <x:row r="234">
      <x:c r="A234" s="50" t="str">
        <x:f>Members!A234</x:f>
        <x:v>SYN0231</x:v>
      </x:c>
      <x:c r="B234" s="51" t="n">
        <x:f>Members!B234</x:f>
        <x:v>46225</x:v>
      </x:c>
      <x:c r="C234" s="50" t="str">
        <x:f>Members!C234</x:f>
        <x:v>Employer</x:v>
      </x:c>
      <x:c r="D234" s="50" t="n">
        <x:f>IF($B234&lt;='Scorecard'!$B$3-7,1,0)</x:f>
        <x:v>1</x:v>
      </x:c>
      <x:c r="E234" s="50" t="n">
        <x:f>IF(COUNTIFS(Events!$B$4:$B$1456,$A234,Events!$C$4:$C$1456,"coach_contact_completed",Events!$D$4:$D$1456,"&gt;="&amp;($B234+0),Events!$D$4:$D$1456,"&lt;="&amp;($B234+7))&gt;0,1,0)</x:f>
        <x:v>1</x:v>
      </x:c>
      <x:c r="F234" s="50" t="n">
        <x:f>IF($B234&lt;='Scorecard'!$B$3-37,1,0)</x:f>
        <x:v>1</x:v>
      </x:c>
      <x:c r="G234" s="50" t="n">
        <x:f>IF(COUNTIFS(Events!$B$4:$B$1456,$A234,Events!$C$4:$C$1456,"day30_checkin_completed",Events!$D$4:$D$1456,"&gt;="&amp;($B234+28),Events!$D$4:$D$1456,"&lt;="&amp;($B234+37))&gt;0,1,0)</x:f>
        <x:v>1</x:v>
      </x:c>
      <x:c r="H234" s="50" t="n">
        <x:f>IF($B234&lt;='Scorecard'!$B$3-74,1,0)</x:f>
        <x:v>0</x:v>
      </x:c>
      <x:c r="I234" s="50" t="n">
        <x:f>IF(COUNTIFS(Events!$B$4:$B$1456,$A234,Events!$C$4:$C$1456,"day60_activity_observed",Events!$D$4:$D$1456,"&gt;="&amp;($B234+60),Events!$D$4:$D$1456,"&lt;="&amp;($B234+74))&gt;0,1,0)</x:f>
        <x:v>1</x:v>
      </x:c>
    </x:row>
    <x:row r="235">
      <x:c r="A235" s="50" t="str">
        <x:f>Members!A235</x:f>
        <x:v>SYN0232</x:v>
      </x:c>
      <x:c r="B235" s="51" t="n">
        <x:f>Members!B235</x:f>
        <x:v>46046</x:v>
      </x:c>
      <x:c r="C235" s="50" t="str">
        <x:f>Members!C235</x:f>
        <x:v>Direct</x:v>
      </x:c>
      <x:c r="D235" s="50" t="n">
        <x:f>IF($B235&lt;='Scorecard'!$B$3-7,1,0)</x:f>
        <x:v>1</x:v>
      </x:c>
      <x:c r="E235" s="50" t="n">
        <x:f>IF(COUNTIFS(Events!$B$4:$B$1456,$A235,Events!$C$4:$C$1456,"coach_contact_completed",Events!$D$4:$D$1456,"&gt;="&amp;($B235+0),Events!$D$4:$D$1456,"&lt;="&amp;($B235+7))&gt;0,1,0)</x:f>
        <x:v>1</x:v>
      </x:c>
      <x:c r="F235" s="50" t="n">
        <x:f>IF($B235&lt;='Scorecard'!$B$3-37,1,0)</x:f>
        <x:v>1</x:v>
      </x:c>
      <x:c r="G235" s="50" t="n">
        <x:f>IF(COUNTIFS(Events!$B$4:$B$1456,$A235,Events!$C$4:$C$1456,"day30_checkin_completed",Events!$D$4:$D$1456,"&gt;="&amp;($B235+28),Events!$D$4:$D$1456,"&lt;="&amp;($B235+37))&gt;0,1,0)</x:f>
        <x:v>1</x:v>
      </x:c>
      <x:c r="H235" s="50" t="n">
        <x:f>IF($B235&lt;='Scorecard'!$B$3-74,1,0)</x:f>
        <x:v>1</x:v>
      </x:c>
      <x:c r="I235" s="50" t="n">
        <x:f>IF(COUNTIFS(Events!$B$4:$B$1456,$A235,Events!$C$4:$C$1456,"day60_activity_observed",Events!$D$4:$D$1456,"&gt;="&amp;($B235+60),Events!$D$4:$D$1456,"&lt;="&amp;($B235+74))&gt;0,1,0)</x:f>
        <x:v>0</x:v>
      </x:c>
    </x:row>
    <x:row r="236">
      <x:c r="A236" s="50" t="str">
        <x:f>Members!A236</x:f>
        <x:v>SYN0233</x:v>
      </x:c>
      <x:c r="B236" s="51" t="n">
        <x:f>Members!B236</x:f>
        <x:v>46161</x:v>
      </x:c>
      <x:c r="C236" s="50" t="str">
        <x:f>Members!C236</x:f>
        <x:v>Direct</x:v>
      </x:c>
      <x:c r="D236" s="50" t="n">
        <x:f>IF($B236&lt;='Scorecard'!$B$3-7,1,0)</x:f>
        <x:v>1</x:v>
      </x:c>
      <x:c r="E236" s="50" t="n">
        <x:f>IF(COUNTIFS(Events!$B$4:$B$1456,$A236,Events!$C$4:$C$1456,"coach_contact_completed",Events!$D$4:$D$1456,"&gt;="&amp;($B236+0),Events!$D$4:$D$1456,"&lt;="&amp;($B236+7))&gt;0,1,0)</x:f>
        <x:v>1</x:v>
      </x:c>
      <x:c r="F236" s="50" t="n">
        <x:f>IF($B236&lt;='Scorecard'!$B$3-37,1,0)</x:f>
        <x:v>1</x:v>
      </x:c>
      <x:c r="G236" s="50" t="n">
        <x:f>IF(COUNTIFS(Events!$B$4:$B$1456,$A236,Events!$C$4:$C$1456,"day30_checkin_completed",Events!$D$4:$D$1456,"&gt;="&amp;($B236+28),Events!$D$4:$D$1456,"&lt;="&amp;($B236+37))&gt;0,1,0)</x:f>
        <x:v>1</x:v>
      </x:c>
      <x:c r="H236" s="50" t="n">
        <x:f>IF($B236&lt;='Scorecard'!$B$3-74,1,0)</x:f>
        <x:v>1</x:v>
      </x:c>
      <x:c r="I236" s="50" t="n">
        <x:f>IF(COUNTIFS(Events!$B$4:$B$1456,$A236,Events!$C$4:$C$1456,"day60_activity_observed",Events!$D$4:$D$1456,"&gt;="&amp;($B236+60),Events!$D$4:$D$1456,"&lt;="&amp;($B236+74))&gt;0,1,0)</x:f>
        <x:v>0</x:v>
      </x:c>
    </x:row>
    <x:row r="237">
      <x:c r="A237" s="50" t="str">
        <x:f>Members!A237</x:f>
        <x:v>SYN0234</x:v>
      </x:c>
      <x:c r="B237" s="51" t="n">
        <x:f>Members!B237</x:f>
        <x:v>46098</x:v>
      </x:c>
      <x:c r="C237" s="50" t="str">
        <x:f>Members!C237</x:f>
        <x:v>Direct</x:v>
      </x:c>
      <x:c r="D237" s="50" t="n">
        <x:f>IF($B237&lt;='Scorecard'!$B$3-7,1,0)</x:f>
        <x:v>1</x:v>
      </x:c>
      <x:c r="E237" s="50" t="n">
        <x:f>IF(COUNTIFS(Events!$B$4:$B$1456,$A237,Events!$C$4:$C$1456,"coach_contact_completed",Events!$D$4:$D$1456,"&gt;="&amp;($B237+0),Events!$D$4:$D$1456,"&lt;="&amp;($B237+7))&gt;0,1,0)</x:f>
        <x:v>1</x:v>
      </x:c>
      <x:c r="F237" s="50" t="n">
        <x:f>IF($B237&lt;='Scorecard'!$B$3-37,1,0)</x:f>
        <x:v>1</x:v>
      </x:c>
      <x:c r="G237" s="50" t="n">
        <x:f>IF(COUNTIFS(Events!$B$4:$B$1456,$A237,Events!$C$4:$C$1456,"day30_checkin_completed",Events!$D$4:$D$1456,"&gt;="&amp;($B237+28),Events!$D$4:$D$1456,"&lt;="&amp;($B237+37))&gt;0,1,0)</x:f>
        <x:v>1</x:v>
      </x:c>
      <x:c r="H237" s="50" t="n">
        <x:f>IF($B237&lt;='Scorecard'!$B$3-74,1,0)</x:f>
        <x:v>1</x:v>
      </x:c>
      <x:c r="I237" s="50" t="n">
        <x:f>IF(COUNTIFS(Events!$B$4:$B$1456,$A237,Events!$C$4:$C$1456,"day60_activity_observed",Events!$D$4:$D$1456,"&gt;="&amp;($B237+60),Events!$D$4:$D$1456,"&lt;="&amp;($B237+74))&gt;0,1,0)</x:f>
        <x:v>1</x:v>
      </x:c>
    </x:row>
    <x:row r="238">
      <x:c r="A238" s="50" t="str">
        <x:f>Members!A238</x:f>
        <x:v>SYN0235</x:v>
      </x:c>
      <x:c r="B238" s="51" t="n">
        <x:f>Members!B238</x:f>
        <x:v>46119</x:v>
      </x:c>
      <x:c r="C238" s="50" t="str">
        <x:f>Members!C238</x:f>
        <x:v>Employer</x:v>
      </x:c>
      <x:c r="D238" s="50" t="n">
        <x:f>IF($B238&lt;='Scorecard'!$B$3-7,1,0)</x:f>
        <x:v>1</x:v>
      </x:c>
      <x:c r="E238" s="50" t="n">
        <x:f>IF(COUNTIFS(Events!$B$4:$B$1456,$A238,Events!$C$4:$C$1456,"coach_contact_completed",Events!$D$4:$D$1456,"&gt;="&amp;($B238+0),Events!$D$4:$D$1456,"&lt;="&amp;($B238+7))&gt;0,1,0)</x:f>
        <x:v>1</x:v>
      </x:c>
      <x:c r="F238" s="50" t="n">
        <x:f>IF($B238&lt;='Scorecard'!$B$3-37,1,0)</x:f>
        <x:v>1</x:v>
      </x:c>
      <x:c r="G238" s="50" t="n">
        <x:f>IF(COUNTIFS(Events!$B$4:$B$1456,$A238,Events!$C$4:$C$1456,"day30_checkin_completed",Events!$D$4:$D$1456,"&gt;="&amp;($B238+28),Events!$D$4:$D$1456,"&lt;="&amp;($B238+37))&gt;0,1,0)</x:f>
        <x:v>1</x:v>
      </x:c>
      <x:c r="H238" s="50" t="n">
        <x:f>IF($B238&lt;='Scorecard'!$B$3-74,1,0)</x:f>
        <x:v>1</x:v>
      </x:c>
      <x:c r="I238" s="50" t="n">
        <x:f>IF(COUNTIFS(Events!$B$4:$B$1456,$A238,Events!$C$4:$C$1456,"day60_activity_observed",Events!$D$4:$D$1456,"&gt;="&amp;($B238+60),Events!$D$4:$D$1456,"&lt;="&amp;($B238+74))&gt;0,1,0)</x:f>
        <x:v>1</x:v>
      </x:c>
    </x:row>
    <x:row r="239">
      <x:c r="A239" s="50" t="str">
        <x:f>Members!A239</x:f>
        <x:v>SYN0236</x:v>
      </x:c>
      <x:c r="B239" s="51" t="n">
        <x:f>Members!B239</x:f>
        <x:v>46170</x:v>
      </x:c>
      <x:c r="C239" s="50" t="str">
        <x:f>Members!C239</x:f>
        <x:v>Employer</x:v>
      </x:c>
      <x:c r="D239" s="50" t="n">
        <x:f>IF($B239&lt;='Scorecard'!$B$3-7,1,0)</x:f>
        <x:v>1</x:v>
      </x:c>
      <x:c r="E239" s="50" t="n">
        <x:f>IF(COUNTIFS(Events!$B$4:$B$1456,$A239,Events!$C$4:$C$1456,"coach_contact_completed",Events!$D$4:$D$1456,"&gt;="&amp;($B239+0),Events!$D$4:$D$1456,"&lt;="&amp;($B239+7))&gt;0,1,0)</x:f>
        <x:v>1</x:v>
      </x:c>
      <x:c r="F239" s="50" t="n">
        <x:f>IF($B239&lt;='Scorecard'!$B$3-37,1,0)</x:f>
        <x:v>1</x:v>
      </x:c>
      <x:c r="G239" s="50" t="n">
        <x:f>IF(COUNTIFS(Events!$B$4:$B$1456,$A239,Events!$C$4:$C$1456,"day30_checkin_completed",Events!$D$4:$D$1456,"&gt;="&amp;($B239+28),Events!$D$4:$D$1456,"&lt;="&amp;($B239+37))&gt;0,1,0)</x:f>
        <x:v>1</x:v>
      </x:c>
      <x:c r="H239" s="50" t="n">
        <x:f>IF($B239&lt;='Scorecard'!$B$3-74,1,0)</x:f>
        <x:v>1</x:v>
      </x:c>
      <x:c r="I239" s="50" t="n">
        <x:f>IF(COUNTIFS(Events!$B$4:$B$1456,$A239,Events!$C$4:$C$1456,"day60_activity_observed",Events!$D$4:$D$1456,"&gt;="&amp;($B239+60),Events!$D$4:$D$1456,"&lt;="&amp;($B239+74))&gt;0,1,0)</x:f>
        <x:v>0</x:v>
      </x:c>
    </x:row>
    <x:row r="240">
      <x:c r="A240" s="50" t="str">
        <x:f>Members!A240</x:f>
        <x:v>SYN0237</x:v>
      </x:c>
      <x:c r="B240" s="51" t="n">
        <x:f>Members!B240</x:f>
        <x:v>46168</x:v>
      </x:c>
      <x:c r="C240" s="50" t="str">
        <x:f>Members!C240</x:f>
        <x:v>Direct</x:v>
      </x:c>
      <x:c r="D240" s="50" t="n">
        <x:f>IF($B240&lt;='Scorecard'!$B$3-7,1,0)</x:f>
        <x:v>1</x:v>
      </x:c>
      <x:c r="E240" s="50" t="n">
        <x:f>IF(COUNTIFS(Events!$B$4:$B$1456,$A240,Events!$C$4:$C$1456,"coach_contact_completed",Events!$D$4:$D$1456,"&gt;="&amp;($B240+0),Events!$D$4:$D$1456,"&lt;="&amp;($B240+7))&gt;0,1,0)</x:f>
        <x:v>1</x:v>
      </x:c>
      <x:c r="F240" s="50" t="n">
        <x:f>IF($B240&lt;='Scorecard'!$B$3-37,1,0)</x:f>
        <x:v>1</x:v>
      </x:c>
      <x:c r="G240" s="50" t="n">
        <x:f>IF(COUNTIFS(Events!$B$4:$B$1456,$A240,Events!$C$4:$C$1456,"day30_checkin_completed",Events!$D$4:$D$1456,"&gt;="&amp;($B240+28),Events!$D$4:$D$1456,"&lt;="&amp;($B240+37))&gt;0,1,0)</x:f>
        <x:v>1</x:v>
      </x:c>
      <x:c r="H240" s="50" t="n">
        <x:f>IF($B240&lt;='Scorecard'!$B$3-74,1,0)</x:f>
        <x:v>1</x:v>
      </x:c>
      <x:c r="I240" s="50" t="n">
        <x:f>IF(COUNTIFS(Events!$B$4:$B$1456,$A240,Events!$C$4:$C$1456,"day60_activity_observed",Events!$D$4:$D$1456,"&gt;="&amp;($B240+60),Events!$D$4:$D$1456,"&lt;="&amp;($B240+74))&gt;0,1,0)</x:f>
        <x:v>0</x:v>
      </x:c>
    </x:row>
    <x:row r="241">
      <x:c r="A241" s="50" t="str">
        <x:f>Members!A241</x:f>
        <x:v>SYN0238</x:v>
      </x:c>
      <x:c r="B241" s="51" t="n">
        <x:f>Members!B241</x:f>
        <x:v>46222</x:v>
      </x:c>
      <x:c r="C241" s="50" t="str">
        <x:f>Members!C241</x:f>
        <x:v>Employer</x:v>
      </x:c>
      <x:c r="D241" s="50" t="n">
        <x:f>IF($B241&lt;='Scorecard'!$B$3-7,1,0)</x:f>
        <x:v>1</x:v>
      </x:c>
      <x:c r="E241" s="50" t="n">
        <x:f>IF(COUNTIFS(Events!$B$4:$B$1456,$A241,Events!$C$4:$C$1456,"coach_contact_completed",Events!$D$4:$D$1456,"&gt;="&amp;($B241+0),Events!$D$4:$D$1456,"&lt;="&amp;($B241+7))&gt;0,1,0)</x:f>
        <x:v>0</x:v>
      </x:c>
      <x:c r="F241" s="50" t="n">
        <x:f>IF($B241&lt;='Scorecard'!$B$3-37,1,0)</x:f>
        <x:v>1</x:v>
      </x:c>
      <x:c r="G241" s="50" t="n">
        <x:f>IF(COUNTIFS(Events!$B$4:$B$1456,$A241,Events!$C$4:$C$1456,"day30_checkin_completed",Events!$D$4:$D$1456,"&gt;="&amp;($B241+28),Events!$D$4:$D$1456,"&lt;="&amp;($B241+37))&gt;0,1,0)</x:f>
        <x:v>1</x:v>
      </x:c>
      <x:c r="H241" s="50" t="n">
        <x:f>IF($B241&lt;='Scorecard'!$B$3-74,1,0)</x:f>
        <x:v>0</x:v>
      </x:c>
      <x:c r="I241" s="50" t="n">
        <x:f>IF(COUNTIFS(Events!$B$4:$B$1456,$A241,Events!$C$4:$C$1456,"day60_activity_observed",Events!$D$4:$D$1456,"&gt;="&amp;($B241+60),Events!$D$4:$D$1456,"&lt;="&amp;($B241+74))&gt;0,1,0)</x:f>
        <x:v>0</x:v>
      </x:c>
    </x:row>
    <x:row r="242">
      <x:c r="A242" s="50" t="str">
        <x:f>Members!A242</x:f>
        <x:v>SYN0239</x:v>
      </x:c>
      <x:c r="B242" s="51" t="n">
        <x:f>Members!B242</x:f>
        <x:v>46236</x:v>
      </x:c>
      <x:c r="C242" s="50" t="str">
        <x:f>Members!C242</x:f>
        <x:v>Direct</x:v>
      </x:c>
      <x:c r="D242" s="50" t="n">
        <x:f>IF($B242&lt;='Scorecard'!$B$3-7,1,0)</x:f>
        <x:v>1</x:v>
      </x:c>
      <x:c r="E242" s="50" t="n">
        <x:f>IF(COUNTIFS(Events!$B$4:$B$1456,$A242,Events!$C$4:$C$1456,"coach_contact_completed",Events!$D$4:$D$1456,"&gt;="&amp;($B242+0),Events!$D$4:$D$1456,"&lt;="&amp;($B242+7))&gt;0,1,0)</x:f>
        <x:v>1</x:v>
      </x:c>
      <x:c r="F242" s="50" t="n">
        <x:f>IF($B242&lt;='Scorecard'!$B$3-37,1,0)</x:f>
        <x:v>1</x:v>
      </x:c>
      <x:c r="G242" s="50" t="n">
        <x:f>IF(COUNTIFS(Events!$B$4:$B$1456,$A242,Events!$C$4:$C$1456,"day30_checkin_completed",Events!$D$4:$D$1456,"&gt;="&amp;($B242+28),Events!$D$4:$D$1456,"&lt;="&amp;($B242+37))&gt;0,1,0)</x:f>
        <x:v>1</x:v>
      </x:c>
      <x:c r="H242" s="50" t="n">
        <x:f>IF($B242&lt;='Scorecard'!$B$3-74,1,0)</x:f>
        <x:v>0</x:v>
      </x:c>
      <x:c r="I242" s="50" t="n">
        <x:f>IF(COUNTIFS(Events!$B$4:$B$1456,$A242,Events!$C$4:$C$1456,"day60_activity_observed",Events!$D$4:$D$1456,"&gt;="&amp;($B242+60),Events!$D$4:$D$1456,"&lt;="&amp;($B242+74))&gt;0,1,0)</x:f>
        <x:v>0</x:v>
      </x:c>
    </x:row>
    <x:row r="243">
      <x:c r="A243" s="50" t="str">
        <x:f>Members!A243</x:f>
        <x:v>SYN0240</x:v>
      </x:c>
      <x:c r="B243" s="51" t="n">
        <x:f>Members!B243</x:f>
        <x:v>46256</x:v>
      </x:c>
      <x:c r="C243" s="50" t="str">
        <x:f>Members!C243</x:f>
        <x:v>Direct</x:v>
      </x:c>
      <x:c r="D243" s="50" t="n">
        <x:f>IF($B243&lt;='Scorecard'!$B$3-7,1,0)</x:f>
        <x:v>1</x:v>
      </x:c>
      <x:c r="E243" s="50" t="n">
        <x:f>IF(COUNTIFS(Events!$B$4:$B$1456,$A243,Events!$C$4:$C$1456,"coach_contact_completed",Events!$D$4:$D$1456,"&gt;="&amp;($B243+0),Events!$D$4:$D$1456,"&lt;="&amp;($B243+7))&gt;0,1,0)</x:f>
        <x:v>1</x:v>
      </x:c>
      <x:c r="F243" s="50" t="n">
        <x:f>IF($B243&lt;='Scorecard'!$B$3-37,1,0)</x:f>
        <x:v>1</x:v>
      </x:c>
      <x:c r="G243" s="50" t="n">
        <x:f>IF(COUNTIFS(Events!$B$4:$B$1456,$A243,Events!$C$4:$C$1456,"day30_checkin_completed",Events!$D$4:$D$1456,"&gt;="&amp;($B243+28),Events!$D$4:$D$1456,"&lt;="&amp;($B243+37))&gt;0,1,0)</x:f>
        <x:v>1</x:v>
      </x:c>
      <x:c r="H243" s="50" t="n">
        <x:f>IF($B243&lt;='Scorecard'!$B$3-74,1,0)</x:f>
        <x:v>0</x:v>
      </x:c>
      <x:c r="I243" s="50" t="n">
        <x:f>IF(COUNTIFS(Events!$B$4:$B$1456,$A243,Events!$C$4:$C$1456,"day60_activity_observed",Events!$D$4:$D$1456,"&gt;="&amp;($B243+60),Events!$D$4:$D$1456,"&lt;="&amp;($B243+74))&gt;0,1,0)</x:f>
        <x:v>0</x:v>
      </x:c>
    </x:row>
    <x:row r="244">
      <x:c r="A244" s="50" t="str">
        <x:f>Members!A244</x:f>
        <x:v>SYN0241</x:v>
      </x:c>
      <x:c r="B244" s="51" t="n">
        <x:f>Members!B244</x:f>
        <x:v>46052</x:v>
      </x:c>
      <x:c r="C244" s="50" t="str">
        <x:f>Members!C244</x:f>
        <x:v>Direct</x:v>
      </x:c>
      <x:c r="D244" s="50" t="n">
        <x:f>IF($B244&lt;='Scorecard'!$B$3-7,1,0)</x:f>
        <x:v>1</x:v>
      </x:c>
      <x:c r="E244" s="50" t="n">
        <x:f>IF(COUNTIFS(Events!$B$4:$B$1456,$A244,Events!$C$4:$C$1456,"coach_contact_completed",Events!$D$4:$D$1456,"&gt;="&amp;($B244+0),Events!$D$4:$D$1456,"&lt;="&amp;($B244+7))&gt;0,1,0)</x:f>
        <x:v>1</x:v>
      </x:c>
      <x:c r="F244" s="50" t="n">
        <x:f>IF($B244&lt;='Scorecard'!$B$3-37,1,0)</x:f>
        <x:v>1</x:v>
      </x:c>
      <x:c r="G244" s="50" t="n">
        <x:f>IF(COUNTIFS(Events!$B$4:$B$1456,$A244,Events!$C$4:$C$1456,"day30_checkin_completed",Events!$D$4:$D$1456,"&gt;="&amp;($B244+28),Events!$D$4:$D$1456,"&lt;="&amp;($B244+37))&gt;0,1,0)</x:f>
        <x:v>0</x:v>
      </x:c>
      <x:c r="H244" s="50" t="n">
        <x:f>IF($B244&lt;='Scorecard'!$B$3-74,1,0)</x:f>
        <x:v>1</x:v>
      </x:c>
      <x:c r="I244" s="50" t="n">
        <x:f>IF(COUNTIFS(Events!$B$4:$B$1456,$A244,Events!$C$4:$C$1456,"day60_activity_observed",Events!$D$4:$D$1456,"&gt;="&amp;($B244+60),Events!$D$4:$D$1456,"&lt;="&amp;($B244+74))&gt;0,1,0)</x:f>
        <x:v>1</x:v>
      </x:c>
    </x:row>
    <x:row r="245">
      <x:c r="A245" s="50" t="str">
        <x:f>Members!A245</x:f>
        <x:v>SYN0242</x:v>
      </x:c>
      <x:c r="B245" s="51" t="n">
        <x:f>Members!B245</x:f>
        <x:v>46201</x:v>
      </x:c>
      <x:c r="C245" s="50" t="str">
        <x:f>Members!C245</x:f>
        <x:v>Direct</x:v>
      </x:c>
      <x:c r="D245" s="50" t="n">
        <x:f>IF($B245&lt;='Scorecard'!$B$3-7,1,0)</x:f>
        <x:v>1</x:v>
      </x:c>
      <x:c r="E245" s="50" t="n">
        <x:f>IF(COUNTIFS(Events!$B$4:$B$1456,$A245,Events!$C$4:$C$1456,"coach_contact_completed",Events!$D$4:$D$1456,"&gt;="&amp;($B245+0),Events!$D$4:$D$1456,"&lt;="&amp;($B245+7))&gt;0,1,0)</x:f>
        <x:v>1</x:v>
      </x:c>
      <x:c r="F245" s="50" t="n">
        <x:f>IF($B245&lt;='Scorecard'!$B$3-37,1,0)</x:f>
        <x:v>1</x:v>
      </x:c>
      <x:c r="G245" s="50" t="n">
        <x:f>IF(COUNTIFS(Events!$B$4:$B$1456,$A245,Events!$C$4:$C$1456,"day30_checkin_completed",Events!$D$4:$D$1456,"&gt;="&amp;($B245+28),Events!$D$4:$D$1456,"&lt;="&amp;($B245+37))&gt;0,1,0)</x:f>
        <x:v>0</x:v>
      </x:c>
      <x:c r="H245" s="50" t="n">
        <x:f>IF($B245&lt;='Scorecard'!$B$3-74,1,0)</x:f>
        <x:v>1</x:v>
      </x:c>
      <x:c r="I245" s="50" t="n">
        <x:f>IF(COUNTIFS(Events!$B$4:$B$1456,$A245,Events!$C$4:$C$1456,"day60_activity_observed",Events!$D$4:$D$1456,"&gt;="&amp;($B245+60),Events!$D$4:$D$1456,"&lt;="&amp;($B245+74))&gt;0,1,0)</x:f>
        <x:v>1</x:v>
      </x:c>
    </x:row>
    <x:row r="246">
      <x:c r="A246" s="50" t="str">
        <x:f>Members!A246</x:f>
        <x:v>SYN0243</x:v>
      </x:c>
      <x:c r="B246" s="51" t="n">
        <x:f>Members!B246</x:f>
        <x:v>46069</x:v>
      </x:c>
      <x:c r="C246" s="50" t="str">
        <x:f>Members!C246</x:f>
        <x:v>Employer</x:v>
      </x:c>
      <x:c r="D246" s="50" t="n">
        <x:f>IF($B246&lt;='Scorecard'!$B$3-7,1,0)</x:f>
        <x:v>1</x:v>
      </x:c>
      <x:c r="E246" s="50" t="n">
        <x:f>IF(COUNTIFS(Events!$B$4:$B$1456,$A246,Events!$C$4:$C$1456,"coach_contact_completed",Events!$D$4:$D$1456,"&gt;="&amp;($B246+0),Events!$D$4:$D$1456,"&lt;="&amp;($B246+7))&gt;0,1,0)</x:f>
        <x:v>1</x:v>
      </x:c>
      <x:c r="F246" s="50" t="n">
        <x:f>IF($B246&lt;='Scorecard'!$B$3-37,1,0)</x:f>
        <x:v>1</x:v>
      </x:c>
      <x:c r="G246" s="50" t="n">
        <x:f>IF(COUNTIFS(Events!$B$4:$B$1456,$A246,Events!$C$4:$C$1456,"day30_checkin_completed",Events!$D$4:$D$1456,"&gt;="&amp;($B246+28),Events!$D$4:$D$1456,"&lt;="&amp;($B246+37))&gt;0,1,0)</x:f>
        <x:v>1</x:v>
      </x:c>
      <x:c r="H246" s="50" t="n">
        <x:f>IF($B246&lt;='Scorecard'!$B$3-74,1,0)</x:f>
        <x:v>1</x:v>
      </x:c>
      <x:c r="I246" s="50" t="n">
        <x:f>IF(COUNTIFS(Events!$B$4:$B$1456,$A246,Events!$C$4:$C$1456,"day60_activity_observed",Events!$D$4:$D$1456,"&gt;="&amp;($B246+60),Events!$D$4:$D$1456,"&lt;="&amp;($B246+74))&gt;0,1,0)</x:f>
        <x:v>1</x:v>
      </x:c>
    </x:row>
    <x:row r="247">
      <x:c r="A247" s="50" t="str">
        <x:f>Members!A247</x:f>
        <x:v>SYN0244</x:v>
      </x:c>
      <x:c r="B247" s="51" t="n">
        <x:f>Members!B247</x:f>
        <x:v>46176</x:v>
      </x:c>
      <x:c r="C247" s="50" t="str">
        <x:f>Members!C247</x:f>
        <x:v>Employer</x:v>
      </x:c>
      <x:c r="D247" s="50" t="n">
        <x:f>IF($B247&lt;='Scorecard'!$B$3-7,1,0)</x:f>
        <x:v>1</x:v>
      </x:c>
      <x:c r="E247" s="50" t="n">
        <x:f>IF(COUNTIFS(Events!$B$4:$B$1456,$A247,Events!$C$4:$C$1456,"coach_contact_completed",Events!$D$4:$D$1456,"&gt;="&amp;($B247+0),Events!$D$4:$D$1456,"&lt;="&amp;($B247+7))&gt;0,1,0)</x:f>
        <x:v>1</x:v>
      </x:c>
      <x:c r="F247" s="50" t="n">
        <x:f>IF($B247&lt;='Scorecard'!$B$3-37,1,0)</x:f>
        <x:v>1</x:v>
      </x:c>
      <x:c r="G247" s="50" t="n">
        <x:f>IF(COUNTIFS(Events!$B$4:$B$1456,$A247,Events!$C$4:$C$1456,"day30_checkin_completed",Events!$D$4:$D$1456,"&gt;="&amp;($B247+28),Events!$D$4:$D$1456,"&lt;="&amp;($B247+37))&gt;0,1,0)</x:f>
        <x:v>1</x:v>
      </x:c>
      <x:c r="H247" s="50" t="n">
        <x:f>IF($B247&lt;='Scorecard'!$B$3-74,1,0)</x:f>
        <x:v>1</x:v>
      </x:c>
      <x:c r="I247" s="50" t="n">
        <x:f>IF(COUNTIFS(Events!$B$4:$B$1456,$A247,Events!$C$4:$C$1456,"day60_activity_observed",Events!$D$4:$D$1456,"&gt;="&amp;($B247+60),Events!$D$4:$D$1456,"&lt;="&amp;($B247+74))&gt;0,1,0)</x:f>
        <x:v>1</x:v>
      </x:c>
    </x:row>
    <x:row r="248">
      <x:c r="A248" s="50" t="str">
        <x:f>Members!A248</x:f>
        <x:v>SYN0245</x:v>
      </x:c>
      <x:c r="B248" s="51" t="n">
        <x:f>Members!B248</x:f>
        <x:v>46167</x:v>
      </x:c>
      <x:c r="C248" s="50" t="str">
        <x:f>Members!C248</x:f>
        <x:v>Direct</x:v>
      </x:c>
      <x:c r="D248" s="50" t="n">
        <x:f>IF($B248&lt;='Scorecard'!$B$3-7,1,0)</x:f>
        <x:v>1</x:v>
      </x:c>
      <x:c r="E248" s="50" t="n">
        <x:f>IF(COUNTIFS(Events!$B$4:$B$1456,$A248,Events!$C$4:$C$1456,"coach_contact_completed",Events!$D$4:$D$1456,"&gt;="&amp;($B248+0),Events!$D$4:$D$1456,"&lt;="&amp;($B248+7))&gt;0,1,0)</x:f>
        <x:v>1</x:v>
      </x:c>
      <x:c r="F248" s="50" t="n">
        <x:f>IF($B248&lt;='Scorecard'!$B$3-37,1,0)</x:f>
        <x:v>1</x:v>
      </x:c>
      <x:c r="G248" s="50" t="n">
        <x:f>IF(COUNTIFS(Events!$B$4:$B$1456,$A248,Events!$C$4:$C$1456,"day30_checkin_completed",Events!$D$4:$D$1456,"&gt;="&amp;($B248+28),Events!$D$4:$D$1456,"&lt;="&amp;($B248+37))&gt;0,1,0)</x:f>
        <x:v>1</x:v>
      </x:c>
      <x:c r="H248" s="50" t="n">
        <x:f>IF($B248&lt;='Scorecard'!$B$3-74,1,0)</x:f>
        <x:v>1</x:v>
      </x:c>
      <x:c r="I248" s="50" t="n">
        <x:f>IF(COUNTIFS(Events!$B$4:$B$1456,$A248,Events!$C$4:$C$1456,"day60_activity_observed",Events!$D$4:$D$1456,"&gt;="&amp;($B248+60),Events!$D$4:$D$1456,"&lt;="&amp;($B248+74))&gt;0,1,0)</x:f>
        <x:v>1</x:v>
      </x:c>
    </x:row>
    <x:row r="249">
      <x:c r="A249" s="50" t="str">
        <x:f>Members!A249</x:f>
        <x:v>SYN0246</x:v>
      </x:c>
      <x:c r="B249" s="51" t="n">
        <x:f>Members!B249</x:f>
        <x:v>46035</x:v>
      </x:c>
      <x:c r="C249" s="50" t="str">
        <x:f>Members!C249</x:f>
        <x:v>Direct</x:v>
      </x:c>
      <x:c r="D249" s="50" t="n">
        <x:f>IF($B249&lt;='Scorecard'!$B$3-7,1,0)</x:f>
        <x:v>1</x:v>
      </x:c>
      <x:c r="E249" s="50" t="n">
        <x:f>IF(COUNTIFS(Events!$B$4:$B$1456,$A249,Events!$C$4:$C$1456,"coach_contact_completed",Events!$D$4:$D$1456,"&gt;="&amp;($B249+0),Events!$D$4:$D$1456,"&lt;="&amp;($B249+7))&gt;0,1,0)</x:f>
        <x:v>1</x:v>
      </x:c>
      <x:c r="F249" s="50" t="n">
        <x:f>IF($B249&lt;='Scorecard'!$B$3-37,1,0)</x:f>
        <x:v>1</x:v>
      </x:c>
      <x:c r="G249" s="50" t="n">
        <x:f>IF(COUNTIFS(Events!$B$4:$B$1456,$A249,Events!$C$4:$C$1456,"day30_checkin_completed",Events!$D$4:$D$1456,"&gt;="&amp;($B249+28),Events!$D$4:$D$1456,"&lt;="&amp;($B249+37))&gt;0,1,0)</x:f>
        <x:v>1</x:v>
      </x:c>
      <x:c r="H249" s="50" t="n">
        <x:f>IF($B249&lt;='Scorecard'!$B$3-74,1,0)</x:f>
        <x:v>1</x:v>
      </x:c>
      <x:c r="I249" s="50" t="n">
        <x:f>IF(COUNTIFS(Events!$B$4:$B$1456,$A249,Events!$C$4:$C$1456,"day60_activity_observed",Events!$D$4:$D$1456,"&gt;="&amp;($B249+60),Events!$D$4:$D$1456,"&lt;="&amp;($B249+74))&gt;0,1,0)</x:f>
        <x:v>1</x:v>
      </x:c>
    </x:row>
    <x:row r="250">
      <x:c r="A250" s="50" t="str">
        <x:f>Members!A250</x:f>
        <x:v>SYN0247</x:v>
      </x:c>
      <x:c r="B250" s="51" t="n">
        <x:f>Members!B250</x:f>
        <x:v>46066</x:v>
      </x:c>
      <x:c r="C250" s="50" t="str">
        <x:f>Members!C250</x:f>
        <x:v>Employer</x:v>
      </x:c>
      <x:c r="D250" s="50" t="n">
        <x:f>IF($B250&lt;='Scorecard'!$B$3-7,1,0)</x:f>
        <x:v>1</x:v>
      </x:c>
      <x:c r="E250" s="50" t="n">
        <x:f>IF(COUNTIFS(Events!$B$4:$B$1456,$A250,Events!$C$4:$C$1456,"coach_contact_completed",Events!$D$4:$D$1456,"&gt;="&amp;($B250+0),Events!$D$4:$D$1456,"&lt;="&amp;($B250+7))&gt;0,1,0)</x:f>
        <x:v>0</x:v>
      </x:c>
      <x:c r="F250" s="50" t="n">
        <x:f>IF($B250&lt;='Scorecard'!$B$3-37,1,0)</x:f>
        <x:v>1</x:v>
      </x:c>
      <x:c r="G250" s="50" t="n">
        <x:f>IF(COUNTIFS(Events!$B$4:$B$1456,$A250,Events!$C$4:$C$1456,"day30_checkin_completed",Events!$D$4:$D$1456,"&gt;="&amp;($B250+28),Events!$D$4:$D$1456,"&lt;="&amp;($B250+37))&gt;0,1,0)</x:f>
        <x:v>0</x:v>
      </x:c>
      <x:c r="H250" s="50" t="n">
        <x:f>IF($B250&lt;='Scorecard'!$B$3-74,1,0)</x:f>
        <x:v>1</x:v>
      </x:c>
      <x:c r="I250" s="50" t="n">
        <x:f>IF(COUNTIFS(Events!$B$4:$B$1456,$A250,Events!$C$4:$C$1456,"day60_activity_observed",Events!$D$4:$D$1456,"&gt;="&amp;($B250+60),Events!$D$4:$D$1456,"&lt;="&amp;($B250+74))&gt;0,1,0)</x:f>
        <x:v>1</x:v>
      </x:c>
    </x:row>
    <x:row r="251">
      <x:c r="A251" s="50" t="str">
        <x:f>Members!A251</x:f>
        <x:v>SYN0248</x:v>
      </x:c>
      <x:c r="B251" s="51" t="n">
        <x:f>Members!B251</x:f>
        <x:v>46197</x:v>
      </x:c>
      <x:c r="C251" s="50" t="str">
        <x:f>Members!C251</x:f>
        <x:v>Direct</x:v>
      </x:c>
      <x:c r="D251" s="50" t="n">
        <x:f>IF($B251&lt;='Scorecard'!$B$3-7,1,0)</x:f>
        <x:v>1</x:v>
      </x:c>
      <x:c r="E251" s="50" t="n">
        <x:f>IF(COUNTIFS(Events!$B$4:$B$1456,$A251,Events!$C$4:$C$1456,"coach_contact_completed",Events!$D$4:$D$1456,"&gt;="&amp;($B251+0),Events!$D$4:$D$1456,"&lt;="&amp;($B251+7))&gt;0,1,0)</x:f>
        <x:v>1</x:v>
      </x:c>
      <x:c r="F251" s="50" t="n">
        <x:f>IF($B251&lt;='Scorecard'!$B$3-37,1,0)</x:f>
        <x:v>1</x:v>
      </x:c>
      <x:c r="G251" s="50" t="n">
        <x:f>IF(COUNTIFS(Events!$B$4:$B$1456,$A251,Events!$C$4:$C$1456,"day30_checkin_completed",Events!$D$4:$D$1456,"&gt;="&amp;($B251+28),Events!$D$4:$D$1456,"&lt;="&amp;($B251+37))&gt;0,1,0)</x:f>
        <x:v>1</x:v>
      </x:c>
      <x:c r="H251" s="50" t="n">
        <x:f>IF($B251&lt;='Scorecard'!$B$3-74,1,0)</x:f>
        <x:v>1</x:v>
      </x:c>
      <x:c r="I251" s="50" t="n">
        <x:f>IF(COUNTIFS(Events!$B$4:$B$1456,$A251,Events!$C$4:$C$1456,"day60_activity_observed",Events!$D$4:$D$1456,"&gt;="&amp;($B251+60),Events!$D$4:$D$1456,"&lt;="&amp;($B251+74))&gt;0,1,0)</x:f>
        <x:v>0</x:v>
      </x:c>
    </x:row>
    <x:row r="252">
      <x:c r="A252" s="50" t="str">
        <x:f>Members!A252</x:f>
        <x:v>SYN0249</x:v>
      </x:c>
      <x:c r="B252" s="51" t="n">
        <x:f>Members!B252</x:f>
        <x:v>46154</x:v>
      </x:c>
      <x:c r="C252" s="50" t="str">
        <x:f>Members!C252</x:f>
        <x:v>Direct</x:v>
      </x:c>
      <x:c r="D252" s="50" t="n">
        <x:f>IF($B252&lt;='Scorecard'!$B$3-7,1,0)</x:f>
        <x:v>1</x:v>
      </x:c>
      <x:c r="E252" s="50" t="n">
        <x:f>IF(COUNTIFS(Events!$B$4:$B$1456,$A252,Events!$C$4:$C$1456,"coach_contact_completed",Events!$D$4:$D$1456,"&gt;="&amp;($B252+0),Events!$D$4:$D$1456,"&lt;="&amp;($B252+7))&gt;0,1,0)</x:f>
        <x:v>1</x:v>
      </x:c>
      <x:c r="F252" s="50" t="n">
        <x:f>IF($B252&lt;='Scorecard'!$B$3-37,1,0)</x:f>
        <x:v>1</x:v>
      </x:c>
      <x:c r="G252" s="50" t="n">
        <x:f>IF(COUNTIFS(Events!$B$4:$B$1456,$A252,Events!$C$4:$C$1456,"day30_checkin_completed",Events!$D$4:$D$1456,"&gt;="&amp;($B252+28),Events!$D$4:$D$1456,"&lt;="&amp;($B252+37))&gt;0,1,0)</x:f>
        <x:v>1</x:v>
      </x:c>
      <x:c r="H252" s="50" t="n">
        <x:f>IF($B252&lt;='Scorecard'!$B$3-74,1,0)</x:f>
        <x:v>1</x:v>
      </x:c>
      <x:c r="I252" s="50" t="n">
        <x:f>IF(COUNTIFS(Events!$B$4:$B$1456,$A252,Events!$C$4:$C$1456,"day60_activity_observed",Events!$D$4:$D$1456,"&gt;="&amp;($B252+60),Events!$D$4:$D$1456,"&lt;="&amp;($B252+74))&gt;0,1,0)</x:f>
        <x:v>0</x:v>
      </x:c>
    </x:row>
    <x:row r="253">
      <x:c r="A253" s="50" t="str">
        <x:f>Members!A253</x:f>
        <x:v>SYN0250</x:v>
      </x:c>
      <x:c r="B253" s="51" t="n">
        <x:f>Members!B253</x:f>
        <x:v>46105</x:v>
      </x:c>
      <x:c r="C253" s="50" t="str">
        <x:f>Members!C253</x:f>
        <x:v>Direct</x:v>
      </x:c>
      <x:c r="D253" s="50" t="n">
        <x:f>IF($B253&lt;='Scorecard'!$B$3-7,1,0)</x:f>
        <x:v>1</x:v>
      </x:c>
      <x:c r="E253" s="50" t="n">
        <x:f>IF(COUNTIFS(Events!$B$4:$B$1456,$A253,Events!$C$4:$C$1456,"coach_contact_completed",Events!$D$4:$D$1456,"&gt;="&amp;($B253+0),Events!$D$4:$D$1456,"&lt;="&amp;($B253+7))&gt;0,1,0)</x:f>
        <x:v>0</x:v>
      </x:c>
      <x:c r="F253" s="50" t="n">
        <x:f>IF($B253&lt;='Scorecard'!$B$3-37,1,0)</x:f>
        <x:v>1</x:v>
      </x:c>
      <x:c r="G253" s="50" t="n">
        <x:f>IF(COUNTIFS(Events!$B$4:$B$1456,$A253,Events!$C$4:$C$1456,"day30_checkin_completed",Events!$D$4:$D$1456,"&gt;="&amp;($B253+28),Events!$D$4:$D$1456,"&lt;="&amp;($B253+37))&gt;0,1,0)</x:f>
        <x:v>0</x:v>
      </x:c>
      <x:c r="H253" s="50" t="n">
        <x:f>IF($B253&lt;='Scorecard'!$B$3-74,1,0)</x:f>
        <x:v>1</x:v>
      </x:c>
      <x:c r="I253" s="50" t="n">
        <x:f>IF(COUNTIFS(Events!$B$4:$B$1456,$A253,Events!$C$4:$C$1456,"day60_activity_observed",Events!$D$4:$D$1456,"&gt;="&amp;($B253+60),Events!$D$4:$D$1456,"&lt;="&amp;($B253+74))&gt;0,1,0)</x:f>
        <x:v>0</x:v>
      </x:c>
    </x:row>
    <x:row r="254">
      <x:c r="A254" s="50" t="str">
        <x:f>Members!A254</x:f>
        <x:v>SYN0251</x:v>
      </x:c>
      <x:c r="B254" s="51" t="n">
        <x:f>Members!B254</x:f>
        <x:v>46239</x:v>
      </x:c>
      <x:c r="C254" s="50" t="str">
        <x:f>Members!C254</x:f>
        <x:v>Direct</x:v>
      </x:c>
      <x:c r="D254" s="50" t="n">
        <x:f>IF($B254&lt;='Scorecard'!$B$3-7,1,0)</x:f>
        <x:v>1</x:v>
      </x:c>
      <x:c r="E254" s="50" t="n">
        <x:f>IF(COUNTIFS(Events!$B$4:$B$1456,$A254,Events!$C$4:$C$1456,"coach_contact_completed",Events!$D$4:$D$1456,"&gt;="&amp;($B254+0),Events!$D$4:$D$1456,"&lt;="&amp;($B254+7))&gt;0,1,0)</x:f>
        <x:v>0</x:v>
      </x:c>
      <x:c r="F254" s="50" t="n">
        <x:f>IF($B254&lt;='Scorecard'!$B$3-37,1,0)</x:f>
        <x:v>1</x:v>
      </x:c>
      <x:c r="G254" s="50" t="n">
        <x:f>IF(COUNTIFS(Events!$B$4:$B$1456,$A254,Events!$C$4:$C$1456,"day30_checkin_completed",Events!$D$4:$D$1456,"&gt;="&amp;($B254+28),Events!$D$4:$D$1456,"&lt;="&amp;($B254+37))&gt;0,1,0)</x:f>
        <x:v>1</x:v>
      </x:c>
      <x:c r="H254" s="50" t="n">
        <x:f>IF($B254&lt;='Scorecard'!$B$3-74,1,0)</x:f>
        <x:v>0</x:v>
      </x:c>
      <x:c r="I254" s="50" t="n">
        <x:f>IF(COUNTIFS(Events!$B$4:$B$1456,$A254,Events!$C$4:$C$1456,"day60_activity_observed",Events!$D$4:$D$1456,"&gt;="&amp;($B254+60),Events!$D$4:$D$1456,"&lt;="&amp;($B254+74))&gt;0,1,0)</x:f>
        <x:v>0</x:v>
      </x:c>
    </x:row>
    <x:row r="255">
      <x:c r="A255" s="50" t="str">
        <x:f>Members!A255</x:f>
        <x:v>SYN0252</x:v>
      </x:c>
      <x:c r="B255" s="51" t="n">
        <x:f>Members!B255</x:f>
        <x:v>46207</x:v>
      </x:c>
      <x:c r="C255" s="50" t="str">
        <x:f>Members!C255</x:f>
        <x:v>Direct</x:v>
      </x:c>
      <x:c r="D255" s="50" t="n">
        <x:f>IF($B255&lt;='Scorecard'!$B$3-7,1,0)</x:f>
        <x:v>1</x:v>
      </x:c>
      <x:c r="E255" s="50" t="n">
        <x:f>IF(COUNTIFS(Events!$B$4:$B$1456,$A255,Events!$C$4:$C$1456,"coach_contact_completed",Events!$D$4:$D$1456,"&gt;="&amp;($B255+0),Events!$D$4:$D$1456,"&lt;="&amp;($B255+7))&gt;0,1,0)</x:f>
        <x:v>0</x:v>
      </x:c>
      <x:c r="F255" s="50" t="n">
        <x:f>IF($B255&lt;='Scorecard'!$B$3-37,1,0)</x:f>
        <x:v>1</x:v>
      </x:c>
      <x:c r="G255" s="50" t="n">
        <x:f>IF(COUNTIFS(Events!$B$4:$B$1456,$A255,Events!$C$4:$C$1456,"day30_checkin_completed",Events!$D$4:$D$1456,"&gt;="&amp;($B255+28),Events!$D$4:$D$1456,"&lt;="&amp;($B255+37))&gt;0,1,0)</x:f>
        <x:v>0</x:v>
      </x:c>
      <x:c r="H255" s="50" t="n">
        <x:f>IF($B255&lt;='Scorecard'!$B$3-74,1,0)</x:f>
        <x:v>1</x:v>
      </x:c>
      <x:c r="I255" s="50" t="n">
        <x:f>IF(COUNTIFS(Events!$B$4:$B$1456,$A255,Events!$C$4:$C$1456,"day60_activity_observed",Events!$D$4:$D$1456,"&gt;="&amp;($B255+60),Events!$D$4:$D$1456,"&lt;="&amp;($B255+74))&gt;0,1,0)</x:f>
        <x:v>1</x:v>
      </x:c>
    </x:row>
    <x:row r="256">
      <x:c r="A256" s="50" t="str">
        <x:f>Members!A256</x:f>
        <x:v>SYN0253</x:v>
      </x:c>
      <x:c r="B256" s="51" t="n">
        <x:f>Members!B256</x:f>
        <x:v>46117</x:v>
      </x:c>
      <x:c r="C256" s="50" t="str">
        <x:f>Members!C256</x:f>
        <x:v>Direct</x:v>
      </x:c>
      <x:c r="D256" s="50" t="n">
        <x:f>IF($B256&lt;='Scorecard'!$B$3-7,1,0)</x:f>
        <x:v>1</x:v>
      </x:c>
      <x:c r="E256" s="50" t="n">
        <x:f>IF(COUNTIFS(Events!$B$4:$B$1456,$A256,Events!$C$4:$C$1456,"coach_contact_completed",Events!$D$4:$D$1456,"&gt;="&amp;($B256+0),Events!$D$4:$D$1456,"&lt;="&amp;($B256+7))&gt;0,1,0)</x:f>
        <x:v>1</x:v>
      </x:c>
      <x:c r="F256" s="50" t="n">
        <x:f>IF($B256&lt;='Scorecard'!$B$3-37,1,0)</x:f>
        <x:v>1</x:v>
      </x:c>
      <x:c r="G256" s="50" t="n">
        <x:f>IF(COUNTIFS(Events!$B$4:$B$1456,$A256,Events!$C$4:$C$1456,"day30_checkin_completed",Events!$D$4:$D$1456,"&gt;="&amp;($B256+28),Events!$D$4:$D$1456,"&lt;="&amp;($B256+37))&gt;0,1,0)</x:f>
        <x:v>0</x:v>
      </x:c>
      <x:c r="H256" s="50" t="n">
        <x:f>IF($B256&lt;='Scorecard'!$B$3-74,1,0)</x:f>
        <x:v>1</x:v>
      </x:c>
      <x:c r="I256" s="50" t="n">
        <x:f>IF(COUNTIFS(Events!$B$4:$B$1456,$A256,Events!$C$4:$C$1456,"day60_activity_observed",Events!$D$4:$D$1456,"&gt;="&amp;($B256+60),Events!$D$4:$D$1456,"&lt;="&amp;($B256+74))&gt;0,1,0)</x:f>
        <x:v>0</x:v>
      </x:c>
    </x:row>
    <x:row r="257">
      <x:c r="A257" s="50" t="str">
        <x:f>Members!A257</x:f>
        <x:v>SYN0254</x:v>
      </x:c>
      <x:c r="B257" s="51" t="n">
        <x:f>Members!B257</x:f>
        <x:v>46217</x:v>
      </x:c>
      <x:c r="C257" s="50" t="str">
        <x:f>Members!C257</x:f>
        <x:v>Direct</x:v>
      </x:c>
      <x:c r="D257" s="50" t="n">
        <x:f>IF($B257&lt;='Scorecard'!$B$3-7,1,0)</x:f>
        <x:v>1</x:v>
      </x:c>
      <x:c r="E257" s="50" t="n">
        <x:f>IF(COUNTIFS(Events!$B$4:$B$1456,$A257,Events!$C$4:$C$1456,"coach_contact_completed",Events!$D$4:$D$1456,"&gt;="&amp;($B257+0),Events!$D$4:$D$1456,"&lt;="&amp;($B257+7))&gt;0,1,0)</x:f>
        <x:v>0</x:v>
      </x:c>
      <x:c r="F257" s="50" t="n">
        <x:f>IF($B257&lt;='Scorecard'!$B$3-37,1,0)</x:f>
        <x:v>1</x:v>
      </x:c>
      <x:c r="G257" s="50" t="n">
        <x:f>IF(COUNTIFS(Events!$B$4:$B$1456,$A257,Events!$C$4:$C$1456,"day30_checkin_completed",Events!$D$4:$D$1456,"&gt;="&amp;($B257+28),Events!$D$4:$D$1456,"&lt;="&amp;($B257+37))&gt;0,1,0)</x:f>
        <x:v>1</x:v>
      </x:c>
      <x:c r="H257" s="50" t="n">
        <x:f>IF($B257&lt;='Scorecard'!$B$3-74,1,0)</x:f>
        <x:v>1</x:v>
      </x:c>
      <x:c r="I257" s="50" t="n">
        <x:f>IF(COUNTIFS(Events!$B$4:$B$1456,$A257,Events!$C$4:$C$1456,"day60_activity_observed",Events!$D$4:$D$1456,"&gt;="&amp;($B257+60),Events!$D$4:$D$1456,"&lt;="&amp;($B257+74))&gt;0,1,0)</x:f>
        <x:v>1</x:v>
      </x:c>
    </x:row>
    <x:row r="258">
      <x:c r="A258" s="50" t="str">
        <x:f>Members!A258</x:f>
        <x:v>SYN0255</x:v>
      </x:c>
      <x:c r="B258" s="51" t="n">
        <x:f>Members!B258</x:f>
        <x:v>46214</x:v>
      </x:c>
      <x:c r="C258" s="50" t="str">
        <x:f>Members!C258</x:f>
        <x:v>Employer</x:v>
      </x:c>
      <x:c r="D258" s="50" t="n">
        <x:f>IF($B258&lt;='Scorecard'!$B$3-7,1,0)</x:f>
        <x:v>1</x:v>
      </x:c>
      <x:c r="E258" s="50" t="n">
        <x:f>IF(COUNTIFS(Events!$B$4:$B$1456,$A258,Events!$C$4:$C$1456,"coach_contact_completed",Events!$D$4:$D$1456,"&gt;="&amp;($B258+0),Events!$D$4:$D$1456,"&lt;="&amp;($B258+7))&gt;0,1,0)</x:f>
        <x:v>0</x:v>
      </x:c>
      <x:c r="F258" s="50" t="n">
        <x:f>IF($B258&lt;='Scorecard'!$B$3-37,1,0)</x:f>
        <x:v>1</x:v>
      </x:c>
      <x:c r="G258" s="50" t="n">
        <x:f>IF(COUNTIFS(Events!$B$4:$B$1456,$A258,Events!$C$4:$C$1456,"day30_checkin_completed",Events!$D$4:$D$1456,"&gt;="&amp;($B258+28),Events!$D$4:$D$1456,"&lt;="&amp;($B258+37))&gt;0,1,0)</x:f>
        <x:v>1</x:v>
      </x:c>
      <x:c r="H258" s="50" t="n">
        <x:f>IF($B258&lt;='Scorecard'!$B$3-74,1,0)</x:f>
        <x:v>1</x:v>
      </x:c>
      <x:c r="I258" s="50" t="n">
        <x:f>IF(COUNTIFS(Events!$B$4:$B$1456,$A258,Events!$C$4:$C$1456,"day60_activity_observed",Events!$D$4:$D$1456,"&gt;="&amp;($B258+60),Events!$D$4:$D$1456,"&lt;="&amp;($B258+74))&gt;0,1,0)</x:f>
        <x:v>0</x:v>
      </x:c>
    </x:row>
    <x:row r="259">
      <x:c r="A259" s="50" t="str">
        <x:f>Members!A259</x:f>
        <x:v>SYN0256</x:v>
      </x:c>
      <x:c r="B259" s="51" t="n">
        <x:f>Members!B259</x:f>
        <x:v>46167</x:v>
      </x:c>
      <x:c r="C259" s="50" t="str">
        <x:f>Members!C259</x:f>
        <x:v>Direct</x:v>
      </x:c>
      <x:c r="D259" s="50" t="n">
        <x:f>IF($B259&lt;='Scorecard'!$B$3-7,1,0)</x:f>
        <x:v>1</x:v>
      </x:c>
      <x:c r="E259" s="50" t="n">
        <x:f>IF(COUNTIFS(Events!$B$4:$B$1456,$A259,Events!$C$4:$C$1456,"coach_contact_completed",Events!$D$4:$D$1456,"&gt;="&amp;($B259+0),Events!$D$4:$D$1456,"&lt;="&amp;($B259+7))&gt;0,1,0)</x:f>
        <x:v>0</x:v>
      </x:c>
      <x:c r="F259" s="50" t="n">
        <x:f>IF($B259&lt;='Scorecard'!$B$3-37,1,0)</x:f>
        <x:v>1</x:v>
      </x:c>
      <x:c r="G259" s="50" t="n">
        <x:f>IF(COUNTIFS(Events!$B$4:$B$1456,$A259,Events!$C$4:$C$1456,"day30_checkin_completed",Events!$D$4:$D$1456,"&gt;="&amp;($B259+28),Events!$D$4:$D$1456,"&lt;="&amp;($B259+37))&gt;0,1,0)</x:f>
        <x:v>0</x:v>
      </x:c>
      <x:c r="H259" s="50" t="n">
        <x:f>IF($B259&lt;='Scorecard'!$B$3-74,1,0)</x:f>
        <x:v>1</x:v>
      </x:c>
      <x:c r="I259" s="50" t="n">
        <x:f>IF(COUNTIFS(Events!$B$4:$B$1456,$A259,Events!$C$4:$C$1456,"day60_activity_observed",Events!$D$4:$D$1456,"&gt;="&amp;($B259+60),Events!$D$4:$D$1456,"&lt;="&amp;($B259+74))&gt;0,1,0)</x:f>
        <x:v>1</x:v>
      </x:c>
    </x:row>
    <x:row r="260">
      <x:c r="A260" s="50" t="str">
        <x:f>Members!A260</x:f>
        <x:v>SYN0257</x:v>
      </x:c>
      <x:c r="B260" s="51" t="n">
        <x:f>Members!B260</x:f>
        <x:v>46175</x:v>
      </x:c>
      <x:c r="C260" s="50" t="str">
        <x:f>Members!C260</x:f>
        <x:v>Employer</x:v>
      </x:c>
      <x:c r="D260" s="50" t="n">
        <x:f>IF($B260&lt;='Scorecard'!$B$3-7,1,0)</x:f>
        <x:v>1</x:v>
      </x:c>
      <x:c r="E260" s="50" t="n">
        <x:f>IF(COUNTIFS(Events!$B$4:$B$1456,$A260,Events!$C$4:$C$1456,"coach_contact_completed",Events!$D$4:$D$1456,"&gt;="&amp;($B260+0),Events!$D$4:$D$1456,"&lt;="&amp;($B260+7))&gt;0,1,0)</x:f>
        <x:v>1</x:v>
      </x:c>
      <x:c r="F260" s="50" t="n">
        <x:f>IF($B260&lt;='Scorecard'!$B$3-37,1,0)</x:f>
        <x:v>1</x:v>
      </x:c>
      <x:c r="G260" s="50" t="n">
        <x:f>IF(COUNTIFS(Events!$B$4:$B$1456,$A260,Events!$C$4:$C$1456,"day30_checkin_completed",Events!$D$4:$D$1456,"&gt;="&amp;($B260+28),Events!$D$4:$D$1456,"&lt;="&amp;($B260+37))&gt;0,1,0)</x:f>
        <x:v>1</x:v>
      </x:c>
      <x:c r="H260" s="50" t="n">
        <x:f>IF($B260&lt;='Scorecard'!$B$3-74,1,0)</x:f>
        <x:v>1</x:v>
      </x:c>
      <x:c r="I260" s="50" t="n">
        <x:f>IF(COUNTIFS(Events!$B$4:$B$1456,$A260,Events!$C$4:$C$1456,"day60_activity_observed",Events!$D$4:$D$1456,"&gt;="&amp;($B260+60),Events!$D$4:$D$1456,"&lt;="&amp;($B260+74))&gt;0,1,0)</x:f>
        <x:v>1</x:v>
      </x:c>
    </x:row>
    <x:row r="261">
      <x:c r="A261" s="50" t="str">
        <x:f>Members!A261</x:f>
        <x:v>SYN0258</x:v>
      </x:c>
      <x:c r="B261" s="51" t="n">
        <x:f>Members!B261</x:f>
        <x:v>46239</x:v>
      </x:c>
      <x:c r="C261" s="50" t="str">
        <x:f>Members!C261</x:f>
        <x:v>Direct</x:v>
      </x:c>
      <x:c r="D261" s="50" t="n">
        <x:f>IF($B261&lt;='Scorecard'!$B$3-7,1,0)</x:f>
        <x:v>1</x:v>
      </x:c>
      <x:c r="E261" s="50" t="n">
        <x:f>IF(COUNTIFS(Events!$B$4:$B$1456,$A261,Events!$C$4:$C$1456,"coach_contact_completed",Events!$D$4:$D$1456,"&gt;="&amp;($B261+0),Events!$D$4:$D$1456,"&lt;="&amp;($B261+7))&gt;0,1,0)</x:f>
        <x:v>0</x:v>
      </x:c>
      <x:c r="F261" s="50" t="n">
        <x:f>IF($B261&lt;='Scorecard'!$B$3-37,1,0)</x:f>
        <x:v>1</x:v>
      </x:c>
      <x:c r="G261" s="50" t="n">
        <x:f>IF(COUNTIFS(Events!$B$4:$B$1456,$A261,Events!$C$4:$C$1456,"day30_checkin_completed",Events!$D$4:$D$1456,"&gt;="&amp;($B261+28),Events!$D$4:$D$1456,"&lt;="&amp;($B261+37))&gt;0,1,0)</x:f>
        <x:v>1</x:v>
      </x:c>
      <x:c r="H261" s="50" t="n">
        <x:f>IF($B261&lt;='Scorecard'!$B$3-74,1,0)</x:f>
        <x:v>0</x:v>
      </x:c>
      <x:c r="I261" s="50" t="n">
        <x:f>IF(COUNTIFS(Events!$B$4:$B$1456,$A261,Events!$C$4:$C$1456,"day60_activity_observed",Events!$D$4:$D$1456,"&gt;="&amp;($B261+60),Events!$D$4:$D$1456,"&lt;="&amp;($B261+74))&gt;0,1,0)</x:f>
        <x:v>0</x:v>
      </x:c>
    </x:row>
    <x:row r="262">
      <x:c r="A262" s="50" t="str">
        <x:f>Members!A262</x:f>
        <x:v>SYN0259</x:v>
      </x:c>
      <x:c r="B262" s="51" t="n">
        <x:f>Members!B262</x:f>
        <x:v>46141</x:v>
      </x:c>
      <x:c r="C262" s="50" t="str">
        <x:f>Members!C262</x:f>
        <x:v>Employer</x:v>
      </x:c>
      <x:c r="D262" s="50" t="n">
        <x:f>IF($B262&lt;='Scorecard'!$B$3-7,1,0)</x:f>
        <x:v>1</x:v>
      </x:c>
      <x:c r="E262" s="50" t="n">
        <x:f>IF(COUNTIFS(Events!$B$4:$B$1456,$A262,Events!$C$4:$C$1456,"coach_contact_completed",Events!$D$4:$D$1456,"&gt;="&amp;($B262+0),Events!$D$4:$D$1456,"&lt;="&amp;($B262+7))&gt;0,1,0)</x:f>
        <x:v>0</x:v>
      </x:c>
      <x:c r="F262" s="50" t="n">
        <x:f>IF($B262&lt;='Scorecard'!$B$3-37,1,0)</x:f>
        <x:v>1</x:v>
      </x:c>
      <x:c r="G262" s="50" t="n">
        <x:f>IF(COUNTIFS(Events!$B$4:$B$1456,$A262,Events!$C$4:$C$1456,"day30_checkin_completed",Events!$D$4:$D$1456,"&gt;="&amp;($B262+28),Events!$D$4:$D$1456,"&lt;="&amp;($B262+37))&gt;0,1,0)</x:f>
        <x:v>1</x:v>
      </x:c>
      <x:c r="H262" s="50" t="n">
        <x:f>IF($B262&lt;='Scorecard'!$B$3-74,1,0)</x:f>
        <x:v>1</x:v>
      </x:c>
      <x:c r="I262" s="50" t="n">
        <x:f>IF(COUNTIFS(Events!$B$4:$B$1456,$A262,Events!$C$4:$C$1456,"day60_activity_observed",Events!$D$4:$D$1456,"&gt;="&amp;($B262+60),Events!$D$4:$D$1456,"&lt;="&amp;($B262+74))&gt;0,1,0)</x:f>
        <x:v>0</x:v>
      </x:c>
    </x:row>
    <x:row r="263">
      <x:c r="A263" s="50" t="str">
        <x:f>Members!A263</x:f>
        <x:v>SYN0260</x:v>
      </x:c>
      <x:c r="B263" s="51" t="n">
        <x:f>Members!B263</x:f>
        <x:v>46224</x:v>
      </x:c>
      <x:c r="C263" s="50" t="str">
        <x:f>Members!C263</x:f>
        <x:v>Direct</x:v>
      </x:c>
      <x:c r="D263" s="50" t="n">
        <x:f>IF($B263&lt;='Scorecard'!$B$3-7,1,0)</x:f>
        <x:v>1</x:v>
      </x:c>
      <x:c r="E263" s="50" t="n">
        <x:f>IF(COUNTIFS(Events!$B$4:$B$1456,$A263,Events!$C$4:$C$1456,"coach_contact_completed",Events!$D$4:$D$1456,"&gt;="&amp;($B263+0),Events!$D$4:$D$1456,"&lt;="&amp;($B263+7))&gt;0,1,0)</x:f>
        <x:v>1</x:v>
      </x:c>
      <x:c r="F263" s="50" t="n">
        <x:f>IF($B263&lt;='Scorecard'!$B$3-37,1,0)</x:f>
        <x:v>1</x:v>
      </x:c>
      <x:c r="G263" s="50" t="n">
        <x:f>IF(COUNTIFS(Events!$B$4:$B$1456,$A263,Events!$C$4:$C$1456,"day30_checkin_completed",Events!$D$4:$D$1456,"&gt;="&amp;($B263+28),Events!$D$4:$D$1456,"&lt;="&amp;($B263+37))&gt;0,1,0)</x:f>
        <x:v>1</x:v>
      </x:c>
      <x:c r="H263" s="50" t="n">
        <x:f>IF($B263&lt;='Scorecard'!$B$3-74,1,0)</x:f>
        <x:v>0</x:v>
      </x:c>
      <x:c r="I263" s="50" t="n">
        <x:f>IF(COUNTIFS(Events!$B$4:$B$1456,$A263,Events!$C$4:$C$1456,"day60_activity_observed",Events!$D$4:$D$1456,"&gt;="&amp;($B263+60),Events!$D$4:$D$1456,"&lt;="&amp;($B263+74))&gt;0,1,0)</x:f>
        <x:v>1</x:v>
      </x:c>
    </x:row>
    <x:row r="264">
      <x:c r="A264" s="50" t="str">
        <x:f>Members!A264</x:f>
        <x:v>SYN0261</x:v>
      </x:c>
      <x:c r="B264" s="51" t="n">
        <x:f>Members!B264</x:f>
        <x:v>46104</x:v>
      </x:c>
      <x:c r="C264" s="50" t="str">
        <x:f>Members!C264</x:f>
        <x:v>Direct</x:v>
      </x:c>
      <x:c r="D264" s="50" t="n">
        <x:f>IF($B264&lt;='Scorecard'!$B$3-7,1,0)</x:f>
        <x:v>1</x:v>
      </x:c>
      <x:c r="E264" s="50" t="n">
        <x:f>IF(COUNTIFS(Events!$B$4:$B$1456,$A264,Events!$C$4:$C$1456,"coach_contact_completed",Events!$D$4:$D$1456,"&gt;="&amp;($B264+0),Events!$D$4:$D$1456,"&lt;="&amp;($B264+7))&gt;0,1,0)</x:f>
        <x:v>1</x:v>
      </x:c>
      <x:c r="F264" s="50" t="n">
        <x:f>IF($B264&lt;='Scorecard'!$B$3-37,1,0)</x:f>
        <x:v>1</x:v>
      </x:c>
      <x:c r="G264" s="50" t="n">
        <x:f>IF(COUNTIFS(Events!$B$4:$B$1456,$A264,Events!$C$4:$C$1456,"day30_checkin_completed",Events!$D$4:$D$1456,"&gt;="&amp;($B264+28),Events!$D$4:$D$1456,"&lt;="&amp;($B264+37))&gt;0,1,0)</x:f>
        <x:v>1</x:v>
      </x:c>
      <x:c r="H264" s="50" t="n">
        <x:f>IF($B264&lt;='Scorecard'!$B$3-74,1,0)</x:f>
        <x:v>1</x:v>
      </x:c>
      <x:c r="I264" s="50" t="n">
        <x:f>IF(COUNTIFS(Events!$B$4:$B$1456,$A264,Events!$C$4:$C$1456,"day60_activity_observed",Events!$D$4:$D$1456,"&gt;="&amp;($B264+60),Events!$D$4:$D$1456,"&lt;="&amp;($B264+74))&gt;0,1,0)</x:f>
        <x:v>0</x:v>
      </x:c>
    </x:row>
    <x:row r="265">
      <x:c r="A265" s="50" t="str">
        <x:f>Members!A265</x:f>
        <x:v>SYN0262</x:v>
      </x:c>
      <x:c r="B265" s="51" t="n">
        <x:f>Members!B265</x:f>
        <x:v>46024</x:v>
      </x:c>
      <x:c r="C265" s="50" t="str">
        <x:f>Members!C265</x:f>
        <x:v>Direct</x:v>
      </x:c>
      <x:c r="D265" s="50" t="n">
        <x:f>IF($B265&lt;='Scorecard'!$B$3-7,1,0)</x:f>
        <x:v>1</x:v>
      </x:c>
      <x:c r="E265" s="50" t="n">
        <x:f>IF(COUNTIFS(Events!$B$4:$B$1456,$A265,Events!$C$4:$C$1456,"coach_contact_completed",Events!$D$4:$D$1456,"&gt;="&amp;($B265+0),Events!$D$4:$D$1456,"&lt;="&amp;($B265+7))&gt;0,1,0)</x:f>
        <x:v>1</x:v>
      </x:c>
      <x:c r="F265" s="50" t="n">
        <x:f>IF($B265&lt;='Scorecard'!$B$3-37,1,0)</x:f>
        <x:v>1</x:v>
      </x:c>
      <x:c r="G265" s="50" t="n">
        <x:f>IF(COUNTIFS(Events!$B$4:$B$1456,$A265,Events!$C$4:$C$1456,"day30_checkin_completed",Events!$D$4:$D$1456,"&gt;="&amp;($B265+28),Events!$D$4:$D$1456,"&lt;="&amp;($B265+37))&gt;0,1,0)</x:f>
        <x:v>1</x:v>
      </x:c>
      <x:c r="H265" s="50" t="n">
        <x:f>IF($B265&lt;='Scorecard'!$B$3-74,1,0)</x:f>
        <x:v>1</x:v>
      </x:c>
      <x:c r="I265" s="50" t="n">
        <x:f>IF(COUNTIFS(Events!$B$4:$B$1456,$A265,Events!$C$4:$C$1456,"day60_activity_observed",Events!$D$4:$D$1456,"&gt;="&amp;($B265+60),Events!$D$4:$D$1456,"&lt;="&amp;($B265+74))&gt;0,1,0)</x:f>
        <x:v>1</x:v>
      </x:c>
    </x:row>
    <x:row r="266">
      <x:c r="A266" s="50" t="str">
        <x:f>Members!A266</x:f>
        <x:v>SYN0263</x:v>
      </x:c>
      <x:c r="B266" s="51" t="n">
        <x:f>Members!B266</x:f>
        <x:v>46225</x:v>
      </x:c>
      <x:c r="C266" s="50" t="str">
        <x:f>Members!C266</x:f>
        <x:v>Direct</x:v>
      </x:c>
      <x:c r="D266" s="50" t="n">
        <x:f>IF($B266&lt;='Scorecard'!$B$3-7,1,0)</x:f>
        <x:v>1</x:v>
      </x:c>
      <x:c r="E266" s="50" t="n">
        <x:f>IF(COUNTIFS(Events!$B$4:$B$1456,$A266,Events!$C$4:$C$1456,"coach_contact_completed",Events!$D$4:$D$1456,"&gt;="&amp;($B266+0),Events!$D$4:$D$1456,"&lt;="&amp;($B266+7))&gt;0,1,0)</x:f>
        <x:v>1</x:v>
      </x:c>
      <x:c r="F266" s="50" t="n">
        <x:f>IF($B266&lt;='Scorecard'!$B$3-37,1,0)</x:f>
        <x:v>1</x:v>
      </x:c>
      <x:c r="G266" s="50" t="n">
        <x:f>IF(COUNTIFS(Events!$B$4:$B$1456,$A266,Events!$C$4:$C$1456,"day30_checkin_completed",Events!$D$4:$D$1456,"&gt;="&amp;($B266+28),Events!$D$4:$D$1456,"&lt;="&amp;($B266+37))&gt;0,1,0)</x:f>
        <x:v>0</x:v>
      </x:c>
      <x:c r="H266" s="50" t="n">
        <x:f>IF($B266&lt;='Scorecard'!$B$3-74,1,0)</x:f>
        <x:v>0</x:v>
      </x:c>
      <x:c r="I266" s="50" t="n">
        <x:f>IF(COUNTIFS(Events!$B$4:$B$1456,$A266,Events!$C$4:$C$1456,"day60_activity_observed",Events!$D$4:$D$1456,"&gt;="&amp;($B266+60),Events!$D$4:$D$1456,"&lt;="&amp;($B266+74))&gt;0,1,0)</x:f>
        <x:v>1</x:v>
      </x:c>
    </x:row>
    <x:row r="267">
      <x:c r="A267" s="50" t="str">
        <x:f>Members!A267</x:f>
        <x:v>SYN0264</x:v>
      </x:c>
      <x:c r="B267" s="51" t="n">
        <x:f>Members!B267</x:f>
        <x:v>46081</x:v>
      </x:c>
      <x:c r="C267" s="50" t="str">
        <x:f>Members!C267</x:f>
        <x:v>Direct</x:v>
      </x:c>
      <x:c r="D267" s="50" t="n">
        <x:f>IF($B267&lt;='Scorecard'!$B$3-7,1,0)</x:f>
        <x:v>1</x:v>
      </x:c>
      <x:c r="E267" s="50" t="n">
        <x:f>IF(COUNTIFS(Events!$B$4:$B$1456,$A267,Events!$C$4:$C$1456,"coach_contact_completed",Events!$D$4:$D$1456,"&gt;="&amp;($B267+0),Events!$D$4:$D$1456,"&lt;="&amp;($B267+7))&gt;0,1,0)</x:f>
        <x:v>1</x:v>
      </x:c>
      <x:c r="F267" s="50" t="n">
        <x:f>IF($B267&lt;='Scorecard'!$B$3-37,1,0)</x:f>
        <x:v>1</x:v>
      </x:c>
      <x:c r="G267" s="50" t="n">
        <x:f>IF(COUNTIFS(Events!$B$4:$B$1456,$A267,Events!$C$4:$C$1456,"day30_checkin_completed",Events!$D$4:$D$1456,"&gt;="&amp;($B267+28),Events!$D$4:$D$1456,"&lt;="&amp;($B267+37))&gt;0,1,0)</x:f>
        <x:v>1</x:v>
      </x:c>
      <x:c r="H267" s="50" t="n">
        <x:f>IF($B267&lt;='Scorecard'!$B$3-74,1,0)</x:f>
        <x:v>1</x:v>
      </x:c>
      <x:c r="I267" s="50" t="n">
        <x:f>IF(COUNTIFS(Events!$B$4:$B$1456,$A267,Events!$C$4:$C$1456,"day60_activity_observed",Events!$D$4:$D$1456,"&gt;="&amp;($B267+60),Events!$D$4:$D$1456,"&lt;="&amp;($B267+74))&gt;0,1,0)</x:f>
        <x:v>1</x:v>
      </x:c>
    </x:row>
    <x:row r="268">
      <x:c r="A268" s="50" t="str">
        <x:f>Members!A268</x:f>
        <x:v>SYN0265</x:v>
      </x:c>
      <x:c r="B268" s="51" t="n">
        <x:f>Members!B268</x:f>
        <x:v>46106</x:v>
      </x:c>
      <x:c r="C268" s="50" t="str">
        <x:f>Members!C268</x:f>
        <x:v>Direct</x:v>
      </x:c>
      <x:c r="D268" s="50" t="n">
        <x:f>IF($B268&lt;='Scorecard'!$B$3-7,1,0)</x:f>
        <x:v>1</x:v>
      </x:c>
      <x:c r="E268" s="50" t="n">
        <x:f>IF(COUNTIFS(Events!$B$4:$B$1456,$A268,Events!$C$4:$C$1456,"coach_contact_completed",Events!$D$4:$D$1456,"&gt;="&amp;($B268+0),Events!$D$4:$D$1456,"&lt;="&amp;($B268+7))&gt;0,1,0)</x:f>
        <x:v>1</x:v>
      </x:c>
      <x:c r="F268" s="50" t="n">
        <x:f>IF($B268&lt;='Scorecard'!$B$3-37,1,0)</x:f>
        <x:v>1</x:v>
      </x:c>
      <x:c r="G268" s="50" t="n">
        <x:f>IF(COUNTIFS(Events!$B$4:$B$1456,$A268,Events!$C$4:$C$1456,"day30_checkin_completed",Events!$D$4:$D$1456,"&gt;="&amp;($B268+28),Events!$D$4:$D$1456,"&lt;="&amp;($B268+37))&gt;0,1,0)</x:f>
        <x:v>1</x:v>
      </x:c>
      <x:c r="H268" s="50" t="n">
        <x:f>IF($B268&lt;='Scorecard'!$B$3-74,1,0)</x:f>
        <x:v>1</x:v>
      </x:c>
      <x:c r="I268" s="50" t="n">
        <x:f>IF(COUNTIFS(Events!$B$4:$B$1456,$A268,Events!$C$4:$C$1456,"day60_activity_observed",Events!$D$4:$D$1456,"&gt;="&amp;($B268+60),Events!$D$4:$D$1456,"&lt;="&amp;($B268+74))&gt;0,1,0)</x:f>
        <x:v>1</x:v>
      </x:c>
    </x:row>
    <x:row r="269">
      <x:c r="A269" s="50" t="str">
        <x:f>Members!A269</x:f>
        <x:v>SYN0266</x:v>
      </x:c>
      <x:c r="B269" s="51" t="n">
        <x:f>Members!B269</x:f>
        <x:v>46028</x:v>
      </x:c>
      <x:c r="C269" s="50" t="str">
        <x:f>Members!C269</x:f>
        <x:v>Direct</x:v>
      </x:c>
      <x:c r="D269" s="50" t="n">
        <x:f>IF($B269&lt;='Scorecard'!$B$3-7,1,0)</x:f>
        <x:v>1</x:v>
      </x:c>
      <x:c r="E269" s="50" t="n">
        <x:f>IF(COUNTIFS(Events!$B$4:$B$1456,$A269,Events!$C$4:$C$1456,"coach_contact_completed",Events!$D$4:$D$1456,"&gt;="&amp;($B269+0),Events!$D$4:$D$1456,"&lt;="&amp;($B269+7))&gt;0,1,0)</x:f>
        <x:v>0</x:v>
      </x:c>
      <x:c r="F269" s="50" t="n">
        <x:f>IF($B269&lt;='Scorecard'!$B$3-37,1,0)</x:f>
        <x:v>1</x:v>
      </x:c>
      <x:c r="G269" s="50" t="n">
        <x:f>IF(COUNTIFS(Events!$B$4:$B$1456,$A269,Events!$C$4:$C$1456,"day30_checkin_completed",Events!$D$4:$D$1456,"&gt;="&amp;($B269+28),Events!$D$4:$D$1456,"&lt;="&amp;($B269+37))&gt;0,1,0)</x:f>
        <x:v>1</x:v>
      </x:c>
      <x:c r="H269" s="50" t="n">
        <x:f>IF($B269&lt;='Scorecard'!$B$3-74,1,0)</x:f>
        <x:v>1</x:v>
      </x:c>
      <x:c r="I269" s="50" t="n">
        <x:f>IF(COUNTIFS(Events!$B$4:$B$1456,$A269,Events!$C$4:$C$1456,"day60_activity_observed",Events!$D$4:$D$1456,"&gt;="&amp;($B269+60),Events!$D$4:$D$1456,"&lt;="&amp;($B269+74))&gt;0,1,0)</x:f>
        <x:v>1</x:v>
      </x:c>
    </x:row>
    <x:row r="270">
      <x:c r="A270" s="50" t="str">
        <x:f>Members!A270</x:f>
        <x:v>SYN0267</x:v>
      </x:c>
      <x:c r="B270" s="51" t="n">
        <x:f>Members!B270</x:f>
        <x:v>46111</x:v>
      </x:c>
      <x:c r="C270" s="50" t="str">
        <x:f>Members!C270</x:f>
        <x:v>Direct</x:v>
      </x:c>
      <x:c r="D270" s="50" t="n">
        <x:f>IF($B270&lt;='Scorecard'!$B$3-7,1,0)</x:f>
        <x:v>1</x:v>
      </x:c>
      <x:c r="E270" s="50" t="n">
        <x:f>IF(COUNTIFS(Events!$B$4:$B$1456,$A270,Events!$C$4:$C$1456,"coach_contact_completed",Events!$D$4:$D$1456,"&gt;="&amp;($B270+0),Events!$D$4:$D$1456,"&lt;="&amp;($B270+7))&gt;0,1,0)</x:f>
        <x:v>1</x:v>
      </x:c>
      <x:c r="F270" s="50" t="n">
        <x:f>IF($B270&lt;='Scorecard'!$B$3-37,1,0)</x:f>
        <x:v>1</x:v>
      </x:c>
      <x:c r="G270" s="50" t="n">
        <x:f>IF(COUNTIFS(Events!$B$4:$B$1456,$A270,Events!$C$4:$C$1456,"day30_checkin_completed",Events!$D$4:$D$1456,"&gt;="&amp;($B270+28),Events!$D$4:$D$1456,"&lt;="&amp;($B270+37))&gt;0,1,0)</x:f>
        <x:v>1</x:v>
      </x:c>
      <x:c r="H270" s="50" t="n">
        <x:f>IF($B270&lt;='Scorecard'!$B$3-74,1,0)</x:f>
        <x:v>1</x:v>
      </x:c>
      <x:c r="I270" s="50" t="n">
        <x:f>IF(COUNTIFS(Events!$B$4:$B$1456,$A270,Events!$C$4:$C$1456,"day60_activity_observed",Events!$D$4:$D$1456,"&gt;="&amp;($B270+60),Events!$D$4:$D$1456,"&lt;="&amp;($B270+74))&gt;0,1,0)</x:f>
        <x:v>1</x:v>
      </x:c>
    </x:row>
    <x:row r="271">
      <x:c r="A271" s="50" t="str">
        <x:f>Members!A271</x:f>
        <x:v>SYN0268</x:v>
      </x:c>
      <x:c r="B271" s="51" t="n">
        <x:f>Members!B271</x:f>
        <x:v>46042</x:v>
      </x:c>
      <x:c r="C271" s="50" t="str">
        <x:f>Members!C271</x:f>
        <x:v>Direct</x:v>
      </x:c>
      <x:c r="D271" s="50" t="n">
        <x:f>IF($B271&lt;='Scorecard'!$B$3-7,1,0)</x:f>
        <x:v>1</x:v>
      </x:c>
      <x:c r="E271" s="50" t="n">
        <x:f>IF(COUNTIFS(Events!$B$4:$B$1456,$A271,Events!$C$4:$C$1456,"coach_contact_completed",Events!$D$4:$D$1456,"&gt;="&amp;($B271+0),Events!$D$4:$D$1456,"&lt;="&amp;($B271+7))&gt;0,1,0)</x:f>
        <x:v>1</x:v>
      </x:c>
      <x:c r="F271" s="50" t="n">
        <x:f>IF($B271&lt;='Scorecard'!$B$3-37,1,0)</x:f>
        <x:v>1</x:v>
      </x:c>
      <x:c r="G271" s="50" t="n">
        <x:f>IF(COUNTIFS(Events!$B$4:$B$1456,$A271,Events!$C$4:$C$1456,"day30_checkin_completed",Events!$D$4:$D$1456,"&gt;="&amp;($B271+28),Events!$D$4:$D$1456,"&lt;="&amp;($B271+37))&gt;0,1,0)</x:f>
        <x:v>0</x:v>
      </x:c>
      <x:c r="H271" s="50" t="n">
        <x:f>IF($B271&lt;='Scorecard'!$B$3-74,1,0)</x:f>
        <x:v>1</x:v>
      </x:c>
      <x:c r="I271" s="50" t="n">
        <x:f>IF(COUNTIFS(Events!$B$4:$B$1456,$A271,Events!$C$4:$C$1456,"day60_activity_observed",Events!$D$4:$D$1456,"&gt;="&amp;($B271+60),Events!$D$4:$D$1456,"&lt;="&amp;($B271+74))&gt;0,1,0)</x:f>
        <x:v>1</x:v>
      </x:c>
    </x:row>
    <x:row r="272">
      <x:c r="A272" s="50" t="str">
        <x:f>Members!A272</x:f>
        <x:v>SYN0269</x:v>
      </x:c>
      <x:c r="B272" s="51" t="n">
        <x:f>Members!B272</x:f>
        <x:v>46179</x:v>
      </x:c>
      <x:c r="C272" s="50" t="str">
        <x:f>Members!C272</x:f>
        <x:v>Employer</x:v>
      </x:c>
      <x:c r="D272" s="50" t="n">
        <x:f>IF($B272&lt;='Scorecard'!$B$3-7,1,0)</x:f>
        <x:v>1</x:v>
      </x:c>
      <x:c r="E272" s="50" t="n">
        <x:f>IF(COUNTIFS(Events!$B$4:$B$1456,$A272,Events!$C$4:$C$1456,"coach_contact_completed",Events!$D$4:$D$1456,"&gt;="&amp;($B272+0),Events!$D$4:$D$1456,"&lt;="&amp;($B272+7))&gt;0,1,0)</x:f>
        <x:v>0</x:v>
      </x:c>
      <x:c r="F272" s="50" t="n">
        <x:f>IF($B272&lt;='Scorecard'!$B$3-37,1,0)</x:f>
        <x:v>1</x:v>
      </x:c>
      <x:c r="G272" s="50" t="n">
        <x:f>IF(COUNTIFS(Events!$B$4:$B$1456,$A272,Events!$C$4:$C$1456,"day30_checkin_completed",Events!$D$4:$D$1456,"&gt;="&amp;($B272+28),Events!$D$4:$D$1456,"&lt;="&amp;($B272+37))&gt;0,1,0)</x:f>
        <x:v>0</x:v>
      </x:c>
      <x:c r="H272" s="50" t="n">
        <x:f>IF($B272&lt;='Scorecard'!$B$3-74,1,0)</x:f>
        <x:v>1</x:v>
      </x:c>
      <x:c r="I272" s="50" t="n">
        <x:f>IF(COUNTIFS(Events!$B$4:$B$1456,$A272,Events!$C$4:$C$1456,"day60_activity_observed",Events!$D$4:$D$1456,"&gt;="&amp;($B272+60),Events!$D$4:$D$1456,"&lt;="&amp;($B272+74))&gt;0,1,0)</x:f>
        <x:v>1</x:v>
      </x:c>
    </x:row>
    <x:row r="273">
      <x:c r="A273" s="50" t="str">
        <x:f>Members!A273</x:f>
        <x:v>SYN0270</x:v>
      </x:c>
      <x:c r="B273" s="51" t="n">
        <x:f>Members!B273</x:f>
        <x:v>46067</x:v>
      </x:c>
      <x:c r="C273" s="50" t="str">
        <x:f>Members!C273</x:f>
        <x:v>Direct</x:v>
      </x:c>
      <x:c r="D273" s="50" t="n">
        <x:f>IF($B273&lt;='Scorecard'!$B$3-7,1,0)</x:f>
        <x:v>1</x:v>
      </x:c>
      <x:c r="E273" s="50" t="n">
        <x:f>IF(COUNTIFS(Events!$B$4:$B$1456,$A273,Events!$C$4:$C$1456,"coach_contact_completed",Events!$D$4:$D$1456,"&gt;="&amp;($B273+0),Events!$D$4:$D$1456,"&lt;="&amp;($B273+7))&gt;0,1,0)</x:f>
        <x:v>1</x:v>
      </x:c>
      <x:c r="F273" s="50" t="n">
        <x:f>IF($B273&lt;='Scorecard'!$B$3-37,1,0)</x:f>
        <x:v>1</x:v>
      </x:c>
      <x:c r="G273" s="50" t="n">
        <x:f>IF(COUNTIFS(Events!$B$4:$B$1456,$A273,Events!$C$4:$C$1456,"day30_checkin_completed",Events!$D$4:$D$1456,"&gt;="&amp;($B273+28),Events!$D$4:$D$1456,"&lt;="&amp;($B273+37))&gt;0,1,0)</x:f>
        <x:v>1</x:v>
      </x:c>
      <x:c r="H273" s="50" t="n">
        <x:f>IF($B273&lt;='Scorecard'!$B$3-74,1,0)</x:f>
        <x:v>1</x:v>
      </x:c>
      <x:c r="I273" s="50" t="n">
        <x:f>IF(COUNTIFS(Events!$B$4:$B$1456,$A273,Events!$C$4:$C$1456,"day60_activity_observed",Events!$D$4:$D$1456,"&gt;="&amp;($B273+60),Events!$D$4:$D$1456,"&lt;="&amp;($B273+74))&gt;0,1,0)</x:f>
        <x:v>0</x:v>
      </x:c>
    </x:row>
    <x:row r="274">
      <x:c r="A274" s="50" t="str">
        <x:f>Members!A274</x:f>
        <x:v>SYN0271</x:v>
      </x:c>
      <x:c r="B274" s="51" t="n">
        <x:f>Members!B274</x:f>
        <x:v>46100</x:v>
      </x:c>
      <x:c r="C274" s="50" t="str">
        <x:f>Members!C274</x:f>
        <x:v>Direct</x:v>
      </x:c>
      <x:c r="D274" s="50" t="n">
        <x:f>IF($B274&lt;='Scorecard'!$B$3-7,1,0)</x:f>
        <x:v>1</x:v>
      </x:c>
      <x:c r="E274" s="50" t="n">
        <x:f>IF(COUNTIFS(Events!$B$4:$B$1456,$A274,Events!$C$4:$C$1456,"coach_contact_completed",Events!$D$4:$D$1456,"&gt;="&amp;($B274+0),Events!$D$4:$D$1456,"&lt;="&amp;($B274+7))&gt;0,1,0)</x:f>
        <x:v>1</x:v>
      </x:c>
      <x:c r="F274" s="50" t="n">
        <x:f>IF($B274&lt;='Scorecard'!$B$3-37,1,0)</x:f>
        <x:v>1</x:v>
      </x:c>
      <x:c r="G274" s="50" t="n">
        <x:f>IF(COUNTIFS(Events!$B$4:$B$1456,$A274,Events!$C$4:$C$1456,"day30_checkin_completed",Events!$D$4:$D$1456,"&gt;="&amp;($B274+28),Events!$D$4:$D$1456,"&lt;="&amp;($B274+37))&gt;0,1,0)</x:f>
        <x:v>1</x:v>
      </x:c>
      <x:c r="H274" s="50" t="n">
        <x:f>IF($B274&lt;='Scorecard'!$B$3-74,1,0)</x:f>
        <x:v>1</x:v>
      </x:c>
      <x:c r="I274" s="50" t="n">
        <x:f>IF(COUNTIFS(Events!$B$4:$B$1456,$A274,Events!$C$4:$C$1456,"day60_activity_observed",Events!$D$4:$D$1456,"&gt;="&amp;($B274+60),Events!$D$4:$D$1456,"&lt;="&amp;($B274+74))&gt;0,1,0)</x:f>
        <x:v>0</x:v>
      </x:c>
    </x:row>
    <x:row r="275">
      <x:c r="A275" s="50" t="str">
        <x:f>Members!A275</x:f>
        <x:v>SYN0272</x:v>
      </x:c>
      <x:c r="B275" s="51" t="n">
        <x:f>Members!B275</x:f>
        <x:v>46087</x:v>
      </x:c>
      <x:c r="C275" s="50" t="str">
        <x:f>Members!C275</x:f>
        <x:v>Direct</x:v>
      </x:c>
      <x:c r="D275" s="50" t="n">
        <x:f>IF($B275&lt;='Scorecard'!$B$3-7,1,0)</x:f>
        <x:v>1</x:v>
      </x:c>
      <x:c r="E275" s="50" t="n">
        <x:f>IF(COUNTIFS(Events!$B$4:$B$1456,$A275,Events!$C$4:$C$1456,"coach_contact_completed",Events!$D$4:$D$1456,"&gt;="&amp;($B275+0),Events!$D$4:$D$1456,"&lt;="&amp;($B275+7))&gt;0,1,0)</x:f>
        <x:v>0</x:v>
      </x:c>
      <x:c r="F275" s="50" t="n">
        <x:f>IF($B275&lt;='Scorecard'!$B$3-37,1,0)</x:f>
        <x:v>1</x:v>
      </x:c>
      <x:c r="G275" s="50" t="n">
        <x:f>IF(COUNTIFS(Events!$B$4:$B$1456,$A275,Events!$C$4:$C$1456,"day30_checkin_completed",Events!$D$4:$D$1456,"&gt;="&amp;($B275+28),Events!$D$4:$D$1456,"&lt;="&amp;($B275+37))&gt;0,1,0)</x:f>
        <x:v>0</x:v>
      </x:c>
      <x:c r="H275" s="50" t="n">
        <x:f>IF($B275&lt;='Scorecard'!$B$3-74,1,0)</x:f>
        <x:v>1</x:v>
      </x:c>
      <x:c r="I275" s="50" t="n">
        <x:f>IF(COUNTIFS(Events!$B$4:$B$1456,$A275,Events!$C$4:$C$1456,"day60_activity_observed",Events!$D$4:$D$1456,"&gt;="&amp;($B275+60),Events!$D$4:$D$1456,"&lt;="&amp;($B275+74))&gt;0,1,0)</x:f>
        <x:v>1</x:v>
      </x:c>
    </x:row>
    <x:row r="276">
      <x:c r="A276" s="50" t="str">
        <x:f>Members!A276</x:f>
        <x:v>SYN0273</x:v>
      </x:c>
      <x:c r="B276" s="51" t="n">
        <x:f>Members!B276</x:f>
        <x:v>46084</x:v>
      </x:c>
      <x:c r="C276" s="50" t="str">
        <x:f>Members!C276</x:f>
        <x:v>Employer</x:v>
      </x:c>
      <x:c r="D276" s="50" t="n">
        <x:f>IF($B276&lt;='Scorecard'!$B$3-7,1,0)</x:f>
        <x:v>1</x:v>
      </x:c>
      <x:c r="E276" s="50" t="n">
        <x:f>IF(COUNTIFS(Events!$B$4:$B$1456,$A276,Events!$C$4:$C$1456,"coach_contact_completed",Events!$D$4:$D$1456,"&gt;="&amp;($B276+0),Events!$D$4:$D$1456,"&lt;="&amp;($B276+7))&gt;0,1,0)</x:f>
        <x:v>0</x:v>
      </x:c>
      <x:c r="F276" s="50" t="n">
        <x:f>IF($B276&lt;='Scorecard'!$B$3-37,1,0)</x:f>
        <x:v>1</x:v>
      </x:c>
      <x:c r="G276" s="50" t="n">
        <x:f>IF(COUNTIFS(Events!$B$4:$B$1456,$A276,Events!$C$4:$C$1456,"day30_checkin_completed",Events!$D$4:$D$1456,"&gt;="&amp;($B276+28),Events!$D$4:$D$1456,"&lt;="&amp;($B276+37))&gt;0,1,0)</x:f>
        <x:v>1</x:v>
      </x:c>
      <x:c r="H276" s="50" t="n">
        <x:f>IF($B276&lt;='Scorecard'!$B$3-74,1,0)</x:f>
        <x:v>1</x:v>
      </x:c>
      <x:c r="I276" s="50" t="n">
        <x:f>IF(COUNTIFS(Events!$B$4:$B$1456,$A276,Events!$C$4:$C$1456,"day60_activity_observed",Events!$D$4:$D$1456,"&gt;="&amp;($B276+60),Events!$D$4:$D$1456,"&lt;="&amp;($B276+74))&gt;0,1,0)</x:f>
        <x:v>0</x:v>
      </x:c>
    </x:row>
    <x:row r="277">
      <x:c r="A277" s="50" t="str">
        <x:f>Members!A277</x:f>
        <x:v>SYN0274</x:v>
      </x:c>
      <x:c r="B277" s="51" t="n">
        <x:f>Members!B277</x:f>
        <x:v>46157</x:v>
      </x:c>
      <x:c r="C277" s="50" t="str">
        <x:f>Members!C277</x:f>
        <x:v>Employer</x:v>
      </x:c>
      <x:c r="D277" s="50" t="n">
        <x:f>IF($B277&lt;='Scorecard'!$B$3-7,1,0)</x:f>
        <x:v>1</x:v>
      </x:c>
      <x:c r="E277" s="50" t="n">
        <x:f>IF(COUNTIFS(Events!$B$4:$B$1456,$A277,Events!$C$4:$C$1456,"coach_contact_completed",Events!$D$4:$D$1456,"&gt;="&amp;($B277+0),Events!$D$4:$D$1456,"&lt;="&amp;($B277+7))&gt;0,1,0)</x:f>
        <x:v>1</x:v>
      </x:c>
      <x:c r="F277" s="50" t="n">
        <x:f>IF($B277&lt;='Scorecard'!$B$3-37,1,0)</x:f>
        <x:v>1</x:v>
      </x:c>
      <x:c r="G277" s="50" t="n">
        <x:f>IF(COUNTIFS(Events!$B$4:$B$1456,$A277,Events!$C$4:$C$1456,"day30_checkin_completed",Events!$D$4:$D$1456,"&gt;="&amp;($B277+28),Events!$D$4:$D$1456,"&lt;="&amp;($B277+37))&gt;0,1,0)</x:f>
        <x:v>1</x:v>
      </x:c>
      <x:c r="H277" s="50" t="n">
        <x:f>IF($B277&lt;='Scorecard'!$B$3-74,1,0)</x:f>
        <x:v>1</x:v>
      </x:c>
      <x:c r="I277" s="50" t="n">
        <x:f>IF(COUNTIFS(Events!$B$4:$B$1456,$A277,Events!$C$4:$C$1456,"day60_activity_observed",Events!$D$4:$D$1456,"&gt;="&amp;($B277+60),Events!$D$4:$D$1456,"&lt;="&amp;($B277+74))&gt;0,1,0)</x:f>
        <x:v>1</x:v>
      </x:c>
    </x:row>
    <x:row r="278">
      <x:c r="A278" s="50" t="str">
        <x:f>Members!A278</x:f>
        <x:v>SYN0275</x:v>
      </x:c>
      <x:c r="B278" s="51" t="n">
        <x:f>Members!B278</x:f>
        <x:v>46159</x:v>
      </x:c>
      <x:c r="C278" s="50" t="str">
        <x:f>Members!C278</x:f>
        <x:v>Employer</x:v>
      </x:c>
      <x:c r="D278" s="50" t="n">
        <x:f>IF($B278&lt;='Scorecard'!$B$3-7,1,0)</x:f>
        <x:v>1</x:v>
      </x:c>
      <x:c r="E278" s="50" t="n">
        <x:f>IF(COUNTIFS(Events!$B$4:$B$1456,$A278,Events!$C$4:$C$1456,"coach_contact_completed",Events!$D$4:$D$1456,"&gt;="&amp;($B278+0),Events!$D$4:$D$1456,"&lt;="&amp;($B278+7))&gt;0,1,0)</x:f>
        <x:v>1</x:v>
      </x:c>
      <x:c r="F278" s="50" t="n">
        <x:f>IF($B278&lt;='Scorecard'!$B$3-37,1,0)</x:f>
        <x:v>1</x:v>
      </x:c>
      <x:c r="G278" s="50" t="n">
        <x:f>IF(COUNTIFS(Events!$B$4:$B$1456,$A278,Events!$C$4:$C$1456,"day30_checkin_completed",Events!$D$4:$D$1456,"&gt;="&amp;($B278+28),Events!$D$4:$D$1456,"&lt;="&amp;($B278+37))&gt;0,1,0)</x:f>
        <x:v>1</x:v>
      </x:c>
      <x:c r="H278" s="50" t="n">
        <x:f>IF($B278&lt;='Scorecard'!$B$3-74,1,0)</x:f>
        <x:v>1</x:v>
      </x:c>
      <x:c r="I278" s="50" t="n">
        <x:f>IF(COUNTIFS(Events!$B$4:$B$1456,$A278,Events!$C$4:$C$1456,"day60_activity_observed",Events!$D$4:$D$1456,"&gt;="&amp;($B278+60),Events!$D$4:$D$1456,"&lt;="&amp;($B278+74))&gt;0,1,0)</x:f>
        <x:v>0</x:v>
      </x:c>
    </x:row>
    <x:row r="279">
      <x:c r="A279" s="50" t="str">
        <x:f>Members!A279</x:f>
        <x:v>SYN0276</x:v>
      </x:c>
      <x:c r="B279" s="51" t="n">
        <x:f>Members!B279</x:f>
        <x:v>46079</x:v>
      </x:c>
      <x:c r="C279" s="50" t="str">
        <x:f>Members!C279</x:f>
        <x:v>Direct</x:v>
      </x:c>
      <x:c r="D279" s="50" t="n">
        <x:f>IF($B279&lt;='Scorecard'!$B$3-7,1,0)</x:f>
        <x:v>1</x:v>
      </x:c>
      <x:c r="E279" s="50" t="n">
        <x:f>IF(COUNTIFS(Events!$B$4:$B$1456,$A279,Events!$C$4:$C$1456,"coach_contact_completed",Events!$D$4:$D$1456,"&gt;="&amp;($B279+0),Events!$D$4:$D$1456,"&lt;="&amp;($B279+7))&gt;0,1,0)</x:f>
        <x:v>1</x:v>
      </x:c>
      <x:c r="F279" s="50" t="n">
        <x:f>IF($B279&lt;='Scorecard'!$B$3-37,1,0)</x:f>
        <x:v>1</x:v>
      </x:c>
      <x:c r="G279" s="50" t="n">
        <x:f>IF(COUNTIFS(Events!$B$4:$B$1456,$A279,Events!$C$4:$C$1456,"day30_checkin_completed",Events!$D$4:$D$1456,"&gt;="&amp;($B279+28),Events!$D$4:$D$1456,"&lt;="&amp;($B279+37))&gt;0,1,0)</x:f>
        <x:v>1</x:v>
      </x:c>
      <x:c r="H279" s="50" t="n">
        <x:f>IF($B279&lt;='Scorecard'!$B$3-74,1,0)</x:f>
        <x:v>1</x:v>
      </x:c>
      <x:c r="I279" s="50" t="n">
        <x:f>IF(COUNTIFS(Events!$B$4:$B$1456,$A279,Events!$C$4:$C$1456,"day60_activity_observed",Events!$D$4:$D$1456,"&gt;="&amp;($B279+60),Events!$D$4:$D$1456,"&lt;="&amp;($B279+74))&gt;0,1,0)</x:f>
        <x:v>1</x:v>
      </x:c>
    </x:row>
    <x:row r="280">
      <x:c r="A280" s="50" t="str">
        <x:f>Members!A280</x:f>
        <x:v>SYN0277</x:v>
      </x:c>
      <x:c r="B280" s="51" t="n">
        <x:f>Members!B280</x:f>
        <x:v>46079</x:v>
      </x:c>
      <x:c r="C280" s="50" t="str">
        <x:f>Members!C280</x:f>
        <x:v>Direct</x:v>
      </x:c>
      <x:c r="D280" s="50" t="n">
        <x:f>IF($B280&lt;='Scorecard'!$B$3-7,1,0)</x:f>
        <x:v>1</x:v>
      </x:c>
      <x:c r="E280" s="50" t="n">
        <x:f>IF(COUNTIFS(Events!$B$4:$B$1456,$A280,Events!$C$4:$C$1456,"coach_contact_completed",Events!$D$4:$D$1456,"&gt;="&amp;($B280+0),Events!$D$4:$D$1456,"&lt;="&amp;($B280+7))&gt;0,1,0)</x:f>
        <x:v>0</x:v>
      </x:c>
      <x:c r="F280" s="50" t="n">
        <x:f>IF($B280&lt;='Scorecard'!$B$3-37,1,0)</x:f>
        <x:v>1</x:v>
      </x:c>
      <x:c r="G280" s="50" t="n">
        <x:f>IF(COUNTIFS(Events!$B$4:$B$1456,$A280,Events!$C$4:$C$1456,"day30_checkin_completed",Events!$D$4:$D$1456,"&gt;="&amp;($B280+28),Events!$D$4:$D$1456,"&lt;="&amp;($B280+37))&gt;0,1,0)</x:f>
        <x:v>1</x:v>
      </x:c>
      <x:c r="H280" s="50" t="n">
        <x:f>IF($B280&lt;='Scorecard'!$B$3-74,1,0)</x:f>
        <x:v>1</x:v>
      </x:c>
      <x:c r="I280" s="50" t="n">
        <x:f>IF(COUNTIFS(Events!$B$4:$B$1456,$A280,Events!$C$4:$C$1456,"day60_activity_observed",Events!$D$4:$D$1456,"&gt;="&amp;($B280+60),Events!$D$4:$D$1456,"&lt;="&amp;($B280+74))&gt;0,1,0)</x:f>
        <x:v>1</x:v>
      </x:c>
    </x:row>
    <x:row r="281">
      <x:c r="A281" s="50" t="str">
        <x:f>Members!A281</x:f>
        <x:v>SYN0278</x:v>
      </x:c>
      <x:c r="B281" s="51" t="n">
        <x:f>Members!B281</x:f>
        <x:v>46142</x:v>
      </x:c>
      <x:c r="C281" s="50" t="str">
        <x:f>Members!C281</x:f>
        <x:v>Direct</x:v>
      </x:c>
      <x:c r="D281" s="50" t="n">
        <x:f>IF($B281&lt;='Scorecard'!$B$3-7,1,0)</x:f>
        <x:v>1</x:v>
      </x:c>
      <x:c r="E281" s="50" t="n">
        <x:f>IF(COUNTIFS(Events!$B$4:$B$1456,$A281,Events!$C$4:$C$1456,"coach_contact_completed",Events!$D$4:$D$1456,"&gt;="&amp;($B281+0),Events!$D$4:$D$1456,"&lt;="&amp;($B281+7))&gt;0,1,0)</x:f>
        <x:v>0</x:v>
      </x:c>
      <x:c r="F281" s="50" t="n">
        <x:f>IF($B281&lt;='Scorecard'!$B$3-37,1,0)</x:f>
        <x:v>1</x:v>
      </x:c>
      <x:c r="G281" s="50" t="n">
        <x:f>IF(COUNTIFS(Events!$B$4:$B$1456,$A281,Events!$C$4:$C$1456,"day30_checkin_completed",Events!$D$4:$D$1456,"&gt;="&amp;($B281+28),Events!$D$4:$D$1456,"&lt;="&amp;($B281+37))&gt;0,1,0)</x:f>
        <x:v>1</x:v>
      </x:c>
      <x:c r="H281" s="50" t="n">
        <x:f>IF($B281&lt;='Scorecard'!$B$3-74,1,0)</x:f>
        <x:v>1</x:v>
      </x:c>
      <x:c r="I281" s="50" t="n">
        <x:f>IF(COUNTIFS(Events!$B$4:$B$1456,$A281,Events!$C$4:$C$1456,"day60_activity_observed",Events!$D$4:$D$1456,"&gt;="&amp;($B281+60),Events!$D$4:$D$1456,"&lt;="&amp;($B281+74))&gt;0,1,0)</x:f>
        <x:v>0</x:v>
      </x:c>
    </x:row>
    <x:row r="282">
      <x:c r="A282" s="50" t="str">
        <x:f>Members!A282</x:f>
        <x:v>SYN0279</x:v>
      </x:c>
      <x:c r="B282" s="51" t="n">
        <x:f>Members!B282</x:f>
        <x:v>46130</x:v>
      </x:c>
      <x:c r="C282" s="50" t="str">
        <x:f>Members!C282</x:f>
        <x:v>Employer</x:v>
      </x:c>
      <x:c r="D282" s="50" t="n">
        <x:f>IF($B282&lt;='Scorecard'!$B$3-7,1,0)</x:f>
        <x:v>1</x:v>
      </x:c>
      <x:c r="E282" s="50" t="n">
        <x:f>IF(COUNTIFS(Events!$B$4:$B$1456,$A282,Events!$C$4:$C$1456,"coach_contact_completed",Events!$D$4:$D$1456,"&gt;="&amp;($B282+0),Events!$D$4:$D$1456,"&lt;="&amp;($B282+7))&gt;0,1,0)</x:f>
        <x:v>1</x:v>
      </x:c>
      <x:c r="F282" s="50" t="n">
        <x:f>IF($B282&lt;='Scorecard'!$B$3-37,1,0)</x:f>
        <x:v>1</x:v>
      </x:c>
      <x:c r="G282" s="50" t="n">
        <x:f>IF(COUNTIFS(Events!$B$4:$B$1456,$A282,Events!$C$4:$C$1456,"day30_checkin_completed",Events!$D$4:$D$1456,"&gt;="&amp;($B282+28),Events!$D$4:$D$1456,"&lt;="&amp;($B282+37))&gt;0,1,0)</x:f>
        <x:v>1</x:v>
      </x:c>
      <x:c r="H282" s="50" t="n">
        <x:f>IF($B282&lt;='Scorecard'!$B$3-74,1,0)</x:f>
        <x:v>1</x:v>
      </x:c>
      <x:c r="I282" s="50" t="n">
        <x:f>IF(COUNTIFS(Events!$B$4:$B$1456,$A282,Events!$C$4:$C$1456,"day60_activity_observed",Events!$D$4:$D$1456,"&gt;="&amp;($B282+60),Events!$D$4:$D$1456,"&lt;="&amp;($B282+74))&gt;0,1,0)</x:f>
        <x:v>1</x:v>
      </x:c>
    </x:row>
    <x:row r="283">
      <x:c r="A283" s="50" t="str">
        <x:f>Members!A283</x:f>
        <x:v>SYN0280</x:v>
      </x:c>
      <x:c r="B283" s="51" t="n">
        <x:f>Members!B283</x:f>
        <x:v>46025</x:v>
      </x:c>
      <x:c r="C283" s="50" t="str">
        <x:f>Members!C283</x:f>
        <x:v>Direct</x:v>
      </x:c>
      <x:c r="D283" s="50" t="n">
        <x:f>IF($B283&lt;='Scorecard'!$B$3-7,1,0)</x:f>
        <x:v>1</x:v>
      </x:c>
      <x:c r="E283" s="50" t="n">
        <x:f>IF(COUNTIFS(Events!$B$4:$B$1456,$A283,Events!$C$4:$C$1456,"coach_contact_completed",Events!$D$4:$D$1456,"&gt;="&amp;($B283+0),Events!$D$4:$D$1456,"&lt;="&amp;($B283+7))&gt;0,1,0)</x:f>
        <x:v>0</x:v>
      </x:c>
      <x:c r="F283" s="50" t="n">
        <x:f>IF($B283&lt;='Scorecard'!$B$3-37,1,0)</x:f>
        <x:v>1</x:v>
      </x:c>
      <x:c r="G283" s="50" t="n">
        <x:f>IF(COUNTIFS(Events!$B$4:$B$1456,$A283,Events!$C$4:$C$1456,"day30_checkin_completed",Events!$D$4:$D$1456,"&gt;="&amp;($B283+28),Events!$D$4:$D$1456,"&lt;="&amp;($B283+37))&gt;0,1,0)</x:f>
        <x:v>0</x:v>
      </x:c>
      <x:c r="H283" s="50" t="n">
        <x:f>IF($B283&lt;='Scorecard'!$B$3-74,1,0)</x:f>
        <x:v>1</x:v>
      </x:c>
      <x:c r="I283" s="50" t="n">
        <x:f>IF(COUNTIFS(Events!$B$4:$B$1456,$A283,Events!$C$4:$C$1456,"day60_activity_observed",Events!$D$4:$D$1456,"&gt;="&amp;($B283+60),Events!$D$4:$D$1456,"&lt;="&amp;($B283+74))&gt;0,1,0)</x:f>
        <x:v>0</x:v>
      </x:c>
    </x:row>
    <x:row r="284">
      <x:c r="A284" s="50" t="str">
        <x:f>Members!A284</x:f>
        <x:v>SYN0281</x:v>
      </x:c>
      <x:c r="B284" s="51" t="n">
        <x:f>Members!B284</x:f>
        <x:v>46135</x:v>
      </x:c>
      <x:c r="C284" s="50" t="str">
        <x:f>Members!C284</x:f>
        <x:v>Direct</x:v>
      </x:c>
      <x:c r="D284" s="50" t="n">
        <x:f>IF($B284&lt;='Scorecard'!$B$3-7,1,0)</x:f>
        <x:v>1</x:v>
      </x:c>
      <x:c r="E284" s="50" t="n">
        <x:f>IF(COUNTIFS(Events!$B$4:$B$1456,$A284,Events!$C$4:$C$1456,"coach_contact_completed",Events!$D$4:$D$1456,"&gt;="&amp;($B284+0),Events!$D$4:$D$1456,"&lt;="&amp;($B284+7))&gt;0,1,0)</x:f>
        <x:v>0</x:v>
      </x:c>
      <x:c r="F284" s="50" t="n">
        <x:f>IF($B284&lt;='Scorecard'!$B$3-37,1,0)</x:f>
        <x:v>1</x:v>
      </x:c>
      <x:c r="G284" s="50" t="n">
        <x:f>IF(COUNTIFS(Events!$B$4:$B$1456,$A284,Events!$C$4:$C$1456,"day30_checkin_completed",Events!$D$4:$D$1456,"&gt;="&amp;($B284+28),Events!$D$4:$D$1456,"&lt;="&amp;($B284+37))&gt;0,1,0)</x:f>
        <x:v>1</x:v>
      </x:c>
      <x:c r="H284" s="50" t="n">
        <x:f>IF($B284&lt;='Scorecard'!$B$3-74,1,0)</x:f>
        <x:v>1</x:v>
      </x:c>
      <x:c r="I284" s="50" t="n">
        <x:f>IF(COUNTIFS(Events!$B$4:$B$1456,$A284,Events!$C$4:$C$1456,"day60_activity_observed",Events!$D$4:$D$1456,"&gt;="&amp;($B284+60),Events!$D$4:$D$1456,"&lt;="&amp;($B284+74))&gt;0,1,0)</x:f>
        <x:v>1</x:v>
      </x:c>
    </x:row>
    <x:row r="285">
      <x:c r="A285" s="50" t="str">
        <x:f>Members!A285</x:f>
        <x:v>SYN0282</x:v>
      </x:c>
      <x:c r="B285" s="51" t="n">
        <x:f>Members!B285</x:f>
        <x:v>46113</x:v>
      </x:c>
      <x:c r="C285" s="50" t="str">
        <x:f>Members!C285</x:f>
        <x:v>Employer</x:v>
      </x:c>
      <x:c r="D285" s="50" t="n">
        <x:f>IF($B285&lt;='Scorecard'!$B$3-7,1,0)</x:f>
        <x:v>1</x:v>
      </x:c>
      <x:c r="E285" s="50" t="n">
        <x:f>IF(COUNTIFS(Events!$B$4:$B$1456,$A285,Events!$C$4:$C$1456,"coach_contact_completed",Events!$D$4:$D$1456,"&gt;="&amp;($B285+0),Events!$D$4:$D$1456,"&lt;="&amp;($B285+7))&gt;0,1,0)</x:f>
        <x:v>1</x:v>
      </x:c>
      <x:c r="F285" s="50" t="n">
        <x:f>IF($B285&lt;='Scorecard'!$B$3-37,1,0)</x:f>
        <x:v>1</x:v>
      </x:c>
      <x:c r="G285" s="50" t="n">
        <x:f>IF(COUNTIFS(Events!$B$4:$B$1456,$A285,Events!$C$4:$C$1456,"day30_checkin_completed",Events!$D$4:$D$1456,"&gt;="&amp;($B285+28),Events!$D$4:$D$1456,"&lt;="&amp;($B285+37))&gt;0,1,0)</x:f>
        <x:v>1</x:v>
      </x:c>
      <x:c r="H285" s="50" t="n">
        <x:f>IF($B285&lt;='Scorecard'!$B$3-74,1,0)</x:f>
        <x:v>1</x:v>
      </x:c>
      <x:c r="I285" s="50" t="n">
        <x:f>IF(COUNTIFS(Events!$B$4:$B$1456,$A285,Events!$C$4:$C$1456,"day60_activity_observed",Events!$D$4:$D$1456,"&gt;="&amp;($B285+60),Events!$D$4:$D$1456,"&lt;="&amp;($B285+74))&gt;0,1,0)</x:f>
        <x:v>1</x:v>
      </x:c>
    </x:row>
    <x:row r="286">
      <x:c r="A286" s="50" t="str">
        <x:f>Members!A286</x:f>
        <x:v>SYN0283</x:v>
      </x:c>
      <x:c r="B286" s="51" t="n">
        <x:f>Members!B286</x:f>
        <x:v>46037</x:v>
      </x:c>
      <x:c r="C286" s="50" t="str">
        <x:f>Members!C286</x:f>
        <x:v>Direct</x:v>
      </x:c>
      <x:c r="D286" s="50" t="n">
        <x:f>IF($B286&lt;='Scorecard'!$B$3-7,1,0)</x:f>
        <x:v>1</x:v>
      </x:c>
      <x:c r="E286" s="50" t="n">
        <x:f>IF(COUNTIFS(Events!$B$4:$B$1456,$A286,Events!$C$4:$C$1456,"coach_contact_completed",Events!$D$4:$D$1456,"&gt;="&amp;($B286+0),Events!$D$4:$D$1456,"&lt;="&amp;($B286+7))&gt;0,1,0)</x:f>
        <x:v>0</x:v>
      </x:c>
      <x:c r="F286" s="50" t="n">
        <x:f>IF($B286&lt;='Scorecard'!$B$3-37,1,0)</x:f>
        <x:v>1</x:v>
      </x:c>
      <x:c r="G286" s="50" t="n">
        <x:f>IF(COUNTIFS(Events!$B$4:$B$1456,$A286,Events!$C$4:$C$1456,"day30_checkin_completed",Events!$D$4:$D$1456,"&gt;="&amp;($B286+28),Events!$D$4:$D$1456,"&lt;="&amp;($B286+37))&gt;0,1,0)</x:f>
        <x:v>1</x:v>
      </x:c>
      <x:c r="H286" s="50" t="n">
        <x:f>IF($B286&lt;='Scorecard'!$B$3-74,1,0)</x:f>
        <x:v>1</x:v>
      </x:c>
      <x:c r="I286" s="50" t="n">
        <x:f>IF(COUNTIFS(Events!$B$4:$B$1456,$A286,Events!$C$4:$C$1456,"day60_activity_observed",Events!$D$4:$D$1456,"&gt;="&amp;($B286+60),Events!$D$4:$D$1456,"&lt;="&amp;($B286+74))&gt;0,1,0)</x:f>
        <x:v>1</x:v>
      </x:c>
    </x:row>
    <x:row r="287">
      <x:c r="A287" s="50" t="str">
        <x:f>Members!A287</x:f>
        <x:v>SYN0284</x:v>
      </x:c>
      <x:c r="B287" s="51" t="n">
        <x:f>Members!B287</x:f>
        <x:v>46069</x:v>
      </x:c>
      <x:c r="C287" s="50" t="str">
        <x:f>Members!C287</x:f>
        <x:v>Direct</x:v>
      </x:c>
      <x:c r="D287" s="50" t="n">
        <x:f>IF($B287&lt;='Scorecard'!$B$3-7,1,0)</x:f>
        <x:v>1</x:v>
      </x:c>
      <x:c r="E287" s="50" t="n">
        <x:f>IF(COUNTIFS(Events!$B$4:$B$1456,$A287,Events!$C$4:$C$1456,"coach_contact_completed",Events!$D$4:$D$1456,"&gt;="&amp;($B287+0),Events!$D$4:$D$1456,"&lt;="&amp;($B287+7))&gt;0,1,0)</x:f>
        <x:v>1</x:v>
      </x:c>
      <x:c r="F287" s="50" t="n">
        <x:f>IF($B287&lt;='Scorecard'!$B$3-37,1,0)</x:f>
        <x:v>1</x:v>
      </x:c>
      <x:c r="G287" s="50" t="n">
        <x:f>IF(COUNTIFS(Events!$B$4:$B$1456,$A287,Events!$C$4:$C$1456,"day30_checkin_completed",Events!$D$4:$D$1456,"&gt;="&amp;($B287+28),Events!$D$4:$D$1456,"&lt;="&amp;($B287+37))&gt;0,1,0)</x:f>
        <x:v>1</x:v>
      </x:c>
      <x:c r="H287" s="50" t="n">
        <x:f>IF($B287&lt;='Scorecard'!$B$3-74,1,0)</x:f>
        <x:v>1</x:v>
      </x:c>
      <x:c r="I287" s="50" t="n">
        <x:f>IF(COUNTIFS(Events!$B$4:$B$1456,$A287,Events!$C$4:$C$1456,"day60_activity_observed",Events!$D$4:$D$1456,"&gt;="&amp;($B287+60),Events!$D$4:$D$1456,"&lt;="&amp;($B287+74))&gt;0,1,0)</x:f>
        <x:v>1</x:v>
      </x:c>
    </x:row>
    <x:row r="288">
      <x:c r="A288" s="50" t="str">
        <x:f>Members!A288</x:f>
        <x:v>SYN0285</x:v>
      </x:c>
      <x:c r="B288" s="51" t="n">
        <x:f>Members!B288</x:f>
        <x:v>46034</x:v>
      </x:c>
      <x:c r="C288" s="50" t="str">
        <x:f>Members!C288</x:f>
        <x:v>Employer</x:v>
      </x:c>
      <x:c r="D288" s="50" t="n">
        <x:f>IF($B288&lt;='Scorecard'!$B$3-7,1,0)</x:f>
        <x:v>1</x:v>
      </x:c>
      <x:c r="E288" s="50" t="n">
        <x:f>IF(COUNTIFS(Events!$B$4:$B$1456,$A288,Events!$C$4:$C$1456,"coach_contact_completed",Events!$D$4:$D$1456,"&gt;="&amp;($B288+0),Events!$D$4:$D$1456,"&lt;="&amp;($B288+7))&gt;0,1,0)</x:f>
        <x:v>0</x:v>
      </x:c>
      <x:c r="F288" s="50" t="n">
        <x:f>IF($B288&lt;='Scorecard'!$B$3-37,1,0)</x:f>
        <x:v>1</x:v>
      </x:c>
      <x:c r="G288" s="50" t="n">
        <x:f>IF(COUNTIFS(Events!$B$4:$B$1456,$A288,Events!$C$4:$C$1456,"day30_checkin_completed",Events!$D$4:$D$1456,"&gt;="&amp;($B288+28),Events!$D$4:$D$1456,"&lt;="&amp;($B288+37))&gt;0,1,0)</x:f>
        <x:v>1</x:v>
      </x:c>
      <x:c r="H288" s="50" t="n">
        <x:f>IF($B288&lt;='Scorecard'!$B$3-74,1,0)</x:f>
        <x:v>1</x:v>
      </x:c>
      <x:c r="I288" s="50" t="n">
        <x:f>IF(COUNTIFS(Events!$B$4:$B$1456,$A288,Events!$C$4:$C$1456,"day60_activity_observed",Events!$D$4:$D$1456,"&gt;="&amp;($B288+60),Events!$D$4:$D$1456,"&lt;="&amp;($B288+74))&gt;0,1,0)</x:f>
        <x:v>0</x:v>
      </x:c>
    </x:row>
    <x:row r="289">
      <x:c r="A289" s="50" t="str">
        <x:f>Members!A289</x:f>
        <x:v>SYN0286</x:v>
      </x:c>
      <x:c r="B289" s="51" t="n">
        <x:f>Members!B289</x:f>
        <x:v>46209</x:v>
      </x:c>
      <x:c r="C289" s="50" t="str">
        <x:f>Members!C289</x:f>
        <x:v>Direct</x:v>
      </x:c>
      <x:c r="D289" s="50" t="n">
        <x:f>IF($B289&lt;='Scorecard'!$B$3-7,1,0)</x:f>
        <x:v>1</x:v>
      </x:c>
      <x:c r="E289" s="50" t="n">
        <x:f>IF(COUNTIFS(Events!$B$4:$B$1456,$A289,Events!$C$4:$C$1456,"coach_contact_completed",Events!$D$4:$D$1456,"&gt;="&amp;($B289+0),Events!$D$4:$D$1456,"&lt;="&amp;($B289+7))&gt;0,1,0)</x:f>
        <x:v>0</x:v>
      </x:c>
      <x:c r="F289" s="50" t="n">
        <x:f>IF($B289&lt;='Scorecard'!$B$3-37,1,0)</x:f>
        <x:v>1</x:v>
      </x:c>
      <x:c r="G289" s="50" t="n">
        <x:f>IF(COUNTIFS(Events!$B$4:$B$1456,$A289,Events!$C$4:$C$1456,"day30_checkin_completed",Events!$D$4:$D$1456,"&gt;="&amp;($B289+28),Events!$D$4:$D$1456,"&lt;="&amp;($B289+37))&gt;0,1,0)</x:f>
        <x:v>0</x:v>
      </x:c>
      <x:c r="H289" s="50" t="n">
        <x:f>IF($B289&lt;='Scorecard'!$B$3-74,1,0)</x:f>
        <x:v>1</x:v>
      </x:c>
      <x:c r="I289" s="50" t="n">
        <x:f>IF(COUNTIFS(Events!$B$4:$B$1456,$A289,Events!$C$4:$C$1456,"day60_activity_observed",Events!$D$4:$D$1456,"&gt;="&amp;($B289+60),Events!$D$4:$D$1456,"&lt;="&amp;($B289+74))&gt;0,1,0)</x:f>
        <x:v>1</x:v>
      </x:c>
    </x:row>
    <x:row r="290">
      <x:c r="A290" s="50" t="str">
        <x:f>Members!A290</x:f>
        <x:v>SYN0287</x:v>
      </x:c>
      <x:c r="B290" s="51" t="n">
        <x:f>Members!B290</x:f>
        <x:v>46239</x:v>
      </x:c>
      <x:c r="C290" s="50" t="str">
        <x:f>Members!C290</x:f>
        <x:v>Employer</x:v>
      </x:c>
      <x:c r="D290" s="50" t="n">
        <x:f>IF($B290&lt;='Scorecard'!$B$3-7,1,0)</x:f>
        <x:v>1</x:v>
      </x:c>
      <x:c r="E290" s="50" t="n">
        <x:f>IF(COUNTIFS(Events!$B$4:$B$1456,$A290,Events!$C$4:$C$1456,"coach_contact_completed",Events!$D$4:$D$1456,"&gt;="&amp;($B290+0),Events!$D$4:$D$1456,"&lt;="&amp;($B290+7))&gt;0,1,0)</x:f>
        <x:v>0</x:v>
      </x:c>
      <x:c r="F290" s="50" t="n">
        <x:f>IF($B290&lt;='Scorecard'!$B$3-37,1,0)</x:f>
        <x:v>1</x:v>
      </x:c>
      <x:c r="G290" s="50" t="n">
        <x:f>IF(COUNTIFS(Events!$B$4:$B$1456,$A290,Events!$C$4:$C$1456,"day30_checkin_completed",Events!$D$4:$D$1456,"&gt;="&amp;($B290+28),Events!$D$4:$D$1456,"&lt;="&amp;($B290+37))&gt;0,1,0)</x:f>
        <x:v>0</x:v>
      </x:c>
      <x:c r="H290" s="50" t="n">
        <x:f>IF($B290&lt;='Scorecard'!$B$3-74,1,0)</x:f>
        <x:v>0</x:v>
      </x:c>
      <x:c r="I290" s="50" t="n">
        <x:f>IF(COUNTIFS(Events!$B$4:$B$1456,$A290,Events!$C$4:$C$1456,"day60_activity_observed",Events!$D$4:$D$1456,"&gt;="&amp;($B290+60),Events!$D$4:$D$1456,"&lt;="&amp;($B290+74))&gt;0,1,0)</x:f>
        <x:v>0</x:v>
      </x:c>
    </x:row>
    <x:row r="291">
      <x:c r="A291" s="50" t="str">
        <x:f>Members!A291</x:f>
        <x:v>SYN0288</x:v>
      </x:c>
      <x:c r="B291" s="51" t="n">
        <x:f>Members!B291</x:f>
        <x:v>46152</x:v>
      </x:c>
      <x:c r="C291" s="50" t="str">
        <x:f>Members!C291</x:f>
        <x:v>Direct</x:v>
      </x:c>
      <x:c r="D291" s="50" t="n">
        <x:f>IF($B291&lt;='Scorecard'!$B$3-7,1,0)</x:f>
        <x:v>1</x:v>
      </x:c>
      <x:c r="E291" s="50" t="n">
        <x:f>IF(COUNTIFS(Events!$B$4:$B$1456,$A291,Events!$C$4:$C$1456,"coach_contact_completed",Events!$D$4:$D$1456,"&gt;="&amp;($B291+0),Events!$D$4:$D$1456,"&lt;="&amp;($B291+7))&gt;0,1,0)</x:f>
        <x:v>0</x:v>
      </x:c>
      <x:c r="F291" s="50" t="n">
        <x:f>IF($B291&lt;='Scorecard'!$B$3-37,1,0)</x:f>
        <x:v>1</x:v>
      </x:c>
      <x:c r="G291" s="50" t="n">
        <x:f>IF(COUNTIFS(Events!$B$4:$B$1456,$A291,Events!$C$4:$C$1456,"day30_checkin_completed",Events!$D$4:$D$1456,"&gt;="&amp;($B291+28),Events!$D$4:$D$1456,"&lt;="&amp;($B291+37))&gt;0,1,0)</x:f>
        <x:v>1</x:v>
      </x:c>
      <x:c r="H291" s="50" t="n">
        <x:f>IF($B291&lt;='Scorecard'!$B$3-74,1,0)</x:f>
        <x:v>1</x:v>
      </x:c>
      <x:c r="I291" s="50" t="n">
        <x:f>IF(COUNTIFS(Events!$B$4:$B$1456,$A291,Events!$C$4:$C$1456,"day60_activity_observed",Events!$D$4:$D$1456,"&gt;="&amp;($B291+60),Events!$D$4:$D$1456,"&lt;="&amp;($B291+74))&gt;0,1,0)</x:f>
        <x:v>1</x:v>
      </x:c>
    </x:row>
    <x:row r="292">
      <x:c r="A292" s="50" t="str">
        <x:f>Members!A292</x:f>
        <x:v>SYN0289</x:v>
      </x:c>
      <x:c r="B292" s="51" t="n">
        <x:f>Members!B292</x:f>
        <x:v>46167</x:v>
      </x:c>
      <x:c r="C292" s="50" t="str">
        <x:f>Members!C292</x:f>
        <x:v>Employer</x:v>
      </x:c>
      <x:c r="D292" s="50" t="n">
        <x:f>IF($B292&lt;='Scorecard'!$B$3-7,1,0)</x:f>
        <x:v>1</x:v>
      </x:c>
      <x:c r="E292" s="50" t="n">
        <x:f>IF(COUNTIFS(Events!$B$4:$B$1456,$A292,Events!$C$4:$C$1456,"coach_contact_completed",Events!$D$4:$D$1456,"&gt;="&amp;($B292+0),Events!$D$4:$D$1456,"&lt;="&amp;($B292+7))&gt;0,1,0)</x:f>
        <x:v>1</x:v>
      </x:c>
      <x:c r="F292" s="50" t="n">
        <x:f>IF($B292&lt;='Scorecard'!$B$3-37,1,0)</x:f>
        <x:v>1</x:v>
      </x:c>
      <x:c r="G292" s="50" t="n">
        <x:f>IF(COUNTIFS(Events!$B$4:$B$1456,$A292,Events!$C$4:$C$1456,"day30_checkin_completed",Events!$D$4:$D$1456,"&gt;="&amp;($B292+28),Events!$D$4:$D$1456,"&lt;="&amp;($B292+37))&gt;0,1,0)</x:f>
        <x:v>1</x:v>
      </x:c>
      <x:c r="H292" s="50" t="n">
        <x:f>IF($B292&lt;='Scorecard'!$B$3-74,1,0)</x:f>
        <x:v>1</x:v>
      </x:c>
      <x:c r="I292" s="50" t="n">
        <x:f>IF(COUNTIFS(Events!$B$4:$B$1456,$A292,Events!$C$4:$C$1456,"day60_activity_observed",Events!$D$4:$D$1456,"&gt;="&amp;($B292+60),Events!$D$4:$D$1456,"&lt;="&amp;($B292+74))&gt;0,1,0)</x:f>
        <x:v>1</x:v>
      </x:c>
    </x:row>
    <x:row r="293">
      <x:c r="A293" s="50" t="str">
        <x:f>Members!A293</x:f>
        <x:v>SYN0290</x:v>
      </x:c>
      <x:c r="B293" s="51" t="n">
        <x:f>Members!B293</x:f>
        <x:v>46083</x:v>
      </x:c>
      <x:c r="C293" s="50" t="str">
        <x:f>Members!C293</x:f>
        <x:v>Direct</x:v>
      </x:c>
      <x:c r="D293" s="50" t="n">
        <x:f>IF($B293&lt;='Scorecard'!$B$3-7,1,0)</x:f>
        <x:v>1</x:v>
      </x:c>
      <x:c r="E293" s="50" t="n">
        <x:f>IF(COUNTIFS(Events!$B$4:$B$1456,$A293,Events!$C$4:$C$1456,"coach_contact_completed",Events!$D$4:$D$1456,"&gt;="&amp;($B293+0),Events!$D$4:$D$1456,"&lt;="&amp;($B293+7))&gt;0,1,0)</x:f>
        <x:v>0</x:v>
      </x:c>
      <x:c r="F293" s="50" t="n">
        <x:f>IF($B293&lt;='Scorecard'!$B$3-37,1,0)</x:f>
        <x:v>1</x:v>
      </x:c>
      <x:c r="G293" s="50" t="n">
        <x:f>IF(COUNTIFS(Events!$B$4:$B$1456,$A293,Events!$C$4:$C$1456,"day30_checkin_completed",Events!$D$4:$D$1456,"&gt;="&amp;($B293+28),Events!$D$4:$D$1456,"&lt;="&amp;($B293+37))&gt;0,1,0)</x:f>
        <x:v>0</x:v>
      </x:c>
      <x:c r="H293" s="50" t="n">
        <x:f>IF($B293&lt;='Scorecard'!$B$3-74,1,0)</x:f>
        <x:v>1</x:v>
      </x:c>
      <x:c r="I293" s="50" t="n">
        <x:f>IF(COUNTIFS(Events!$B$4:$B$1456,$A293,Events!$C$4:$C$1456,"day60_activity_observed",Events!$D$4:$D$1456,"&gt;="&amp;($B293+60),Events!$D$4:$D$1456,"&lt;="&amp;($B293+74))&gt;0,1,0)</x:f>
        <x:v>0</x:v>
      </x:c>
    </x:row>
    <x:row r="294">
      <x:c r="A294" s="50" t="str">
        <x:f>Members!A294</x:f>
        <x:v>SYN0291</x:v>
      </x:c>
      <x:c r="B294" s="51" t="n">
        <x:f>Members!B294</x:f>
        <x:v>46091</x:v>
      </x:c>
      <x:c r="C294" s="50" t="str">
        <x:f>Members!C294</x:f>
        <x:v>Direct</x:v>
      </x:c>
      <x:c r="D294" s="50" t="n">
        <x:f>IF($B294&lt;='Scorecard'!$B$3-7,1,0)</x:f>
        <x:v>1</x:v>
      </x:c>
      <x:c r="E294" s="50" t="n">
        <x:f>IF(COUNTIFS(Events!$B$4:$B$1456,$A294,Events!$C$4:$C$1456,"coach_contact_completed",Events!$D$4:$D$1456,"&gt;="&amp;($B294+0),Events!$D$4:$D$1456,"&lt;="&amp;($B294+7))&gt;0,1,0)</x:f>
        <x:v>1</x:v>
      </x:c>
      <x:c r="F294" s="50" t="n">
        <x:f>IF($B294&lt;='Scorecard'!$B$3-37,1,0)</x:f>
        <x:v>1</x:v>
      </x:c>
      <x:c r="G294" s="50" t="n">
        <x:f>IF(COUNTIFS(Events!$B$4:$B$1456,$A294,Events!$C$4:$C$1456,"day30_checkin_completed",Events!$D$4:$D$1456,"&gt;="&amp;($B294+28),Events!$D$4:$D$1456,"&lt;="&amp;($B294+37))&gt;0,1,0)</x:f>
        <x:v>1</x:v>
      </x:c>
      <x:c r="H294" s="50" t="n">
        <x:f>IF($B294&lt;='Scorecard'!$B$3-74,1,0)</x:f>
        <x:v>1</x:v>
      </x:c>
      <x:c r="I294" s="50" t="n">
        <x:f>IF(COUNTIFS(Events!$B$4:$B$1456,$A294,Events!$C$4:$C$1456,"day60_activity_observed",Events!$D$4:$D$1456,"&gt;="&amp;($B294+60),Events!$D$4:$D$1456,"&lt;="&amp;($B294+74))&gt;0,1,0)</x:f>
        <x:v>0</x:v>
      </x:c>
    </x:row>
    <x:row r="295">
      <x:c r="A295" s="50" t="str">
        <x:f>Members!A295</x:f>
        <x:v>SYN0292</x:v>
      </x:c>
      <x:c r="B295" s="51" t="n">
        <x:f>Members!B295</x:f>
        <x:v>46056</x:v>
      </x:c>
      <x:c r="C295" s="50" t="str">
        <x:f>Members!C295</x:f>
        <x:v>Direct</x:v>
      </x:c>
      <x:c r="D295" s="50" t="n">
        <x:f>IF($B295&lt;='Scorecard'!$B$3-7,1,0)</x:f>
        <x:v>1</x:v>
      </x:c>
      <x:c r="E295" s="50" t="n">
        <x:f>IF(COUNTIFS(Events!$B$4:$B$1456,$A295,Events!$C$4:$C$1456,"coach_contact_completed",Events!$D$4:$D$1456,"&gt;="&amp;($B295+0),Events!$D$4:$D$1456,"&lt;="&amp;($B295+7))&gt;0,1,0)</x:f>
        <x:v>1</x:v>
      </x:c>
      <x:c r="F295" s="50" t="n">
        <x:f>IF($B295&lt;='Scorecard'!$B$3-37,1,0)</x:f>
        <x:v>1</x:v>
      </x:c>
      <x:c r="G295" s="50" t="n">
        <x:f>IF(COUNTIFS(Events!$B$4:$B$1456,$A295,Events!$C$4:$C$1456,"day30_checkin_completed",Events!$D$4:$D$1456,"&gt;="&amp;($B295+28),Events!$D$4:$D$1456,"&lt;="&amp;($B295+37))&gt;0,1,0)</x:f>
        <x:v>0</x:v>
      </x:c>
      <x:c r="H295" s="50" t="n">
        <x:f>IF($B295&lt;='Scorecard'!$B$3-74,1,0)</x:f>
        <x:v>1</x:v>
      </x:c>
      <x:c r="I295" s="50" t="n">
        <x:f>IF(COUNTIFS(Events!$B$4:$B$1456,$A295,Events!$C$4:$C$1456,"day60_activity_observed",Events!$D$4:$D$1456,"&gt;="&amp;($B295+60),Events!$D$4:$D$1456,"&lt;="&amp;($B295+74))&gt;0,1,0)</x:f>
        <x:v>0</x:v>
      </x:c>
    </x:row>
    <x:row r="296">
      <x:c r="A296" s="50" t="str">
        <x:f>Members!A296</x:f>
        <x:v>SYN0293</x:v>
      </x:c>
      <x:c r="B296" s="51" t="n">
        <x:f>Members!B296</x:f>
        <x:v>46165</x:v>
      </x:c>
      <x:c r="C296" s="50" t="str">
        <x:f>Members!C296</x:f>
        <x:v>Direct</x:v>
      </x:c>
      <x:c r="D296" s="50" t="n">
        <x:f>IF($B296&lt;='Scorecard'!$B$3-7,1,0)</x:f>
        <x:v>1</x:v>
      </x:c>
      <x:c r="E296" s="50" t="n">
        <x:f>IF(COUNTIFS(Events!$B$4:$B$1456,$A296,Events!$C$4:$C$1456,"coach_contact_completed",Events!$D$4:$D$1456,"&gt;="&amp;($B296+0),Events!$D$4:$D$1456,"&lt;="&amp;($B296+7))&gt;0,1,0)</x:f>
        <x:v>1</x:v>
      </x:c>
      <x:c r="F296" s="50" t="n">
        <x:f>IF($B296&lt;='Scorecard'!$B$3-37,1,0)</x:f>
        <x:v>1</x:v>
      </x:c>
      <x:c r="G296" s="50" t="n">
        <x:f>IF(COUNTIFS(Events!$B$4:$B$1456,$A296,Events!$C$4:$C$1456,"day30_checkin_completed",Events!$D$4:$D$1456,"&gt;="&amp;($B296+28),Events!$D$4:$D$1456,"&lt;="&amp;($B296+37))&gt;0,1,0)</x:f>
        <x:v>0</x:v>
      </x:c>
      <x:c r="H296" s="50" t="n">
        <x:f>IF($B296&lt;='Scorecard'!$B$3-74,1,0)</x:f>
        <x:v>1</x:v>
      </x:c>
      <x:c r="I296" s="50" t="n">
        <x:f>IF(COUNTIFS(Events!$B$4:$B$1456,$A296,Events!$C$4:$C$1456,"day60_activity_observed",Events!$D$4:$D$1456,"&gt;="&amp;($B296+60),Events!$D$4:$D$1456,"&lt;="&amp;($B296+74))&gt;0,1,0)</x:f>
        <x:v>0</x:v>
      </x:c>
    </x:row>
    <x:row r="297">
      <x:c r="A297" s="50" t="str">
        <x:f>Members!A297</x:f>
        <x:v>SYN0294</x:v>
      </x:c>
      <x:c r="B297" s="51" t="n">
        <x:f>Members!B297</x:f>
        <x:v>46137</x:v>
      </x:c>
      <x:c r="C297" s="50" t="str">
        <x:f>Members!C297</x:f>
        <x:v>Employer</x:v>
      </x:c>
      <x:c r="D297" s="50" t="n">
        <x:f>IF($B297&lt;='Scorecard'!$B$3-7,1,0)</x:f>
        <x:v>1</x:v>
      </x:c>
      <x:c r="E297" s="50" t="n">
        <x:f>IF(COUNTIFS(Events!$B$4:$B$1456,$A297,Events!$C$4:$C$1456,"coach_contact_completed",Events!$D$4:$D$1456,"&gt;="&amp;($B297+0),Events!$D$4:$D$1456,"&lt;="&amp;($B297+7))&gt;0,1,0)</x:f>
        <x:v>0</x:v>
      </x:c>
      <x:c r="F297" s="50" t="n">
        <x:f>IF($B297&lt;='Scorecard'!$B$3-37,1,0)</x:f>
        <x:v>1</x:v>
      </x:c>
      <x:c r="G297" s="50" t="n">
        <x:f>IF(COUNTIFS(Events!$B$4:$B$1456,$A297,Events!$C$4:$C$1456,"day30_checkin_completed",Events!$D$4:$D$1456,"&gt;="&amp;($B297+28),Events!$D$4:$D$1456,"&lt;="&amp;($B297+37))&gt;0,1,0)</x:f>
        <x:v>0</x:v>
      </x:c>
      <x:c r="H297" s="50" t="n">
        <x:f>IF($B297&lt;='Scorecard'!$B$3-74,1,0)</x:f>
        <x:v>1</x:v>
      </x:c>
      <x:c r="I297" s="50" t="n">
        <x:f>IF(COUNTIFS(Events!$B$4:$B$1456,$A297,Events!$C$4:$C$1456,"day60_activity_observed",Events!$D$4:$D$1456,"&gt;="&amp;($B297+60),Events!$D$4:$D$1456,"&lt;="&amp;($B297+74))&gt;0,1,0)</x:f>
        <x:v>0</x:v>
      </x:c>
    </x:row>
    <x:row r="298">
      <x:c r="A298" s="50" t="str">
        <x:f>Members!A298</x:f>
        <x:v>SYN0295</x:v>
      </x:c>
      <x:c r="B298" s="51" t="n">
        <x:f>Members!B298</x:f>
        <x:v>46039</x:v>
      </x:c>
      <x:c r="C298" s="50" t="str">
        <x:f>Members!C298</x:f>
        <x:v>Direct</x:v>
      </x:c>
      <x:c r="D298" s="50" t="n">
        <x:f>IF($B298&lt;='Scorecard'!$B$3-7,1,0)</x:f>
        <x:v>1</x:v>
      </x:c>
      <x:c r="E298" s="50" t="n">
        <x:f>IF(COUNTIFS(Events!$B$4:$B$1456,$A298,Events!$C$4:$C$1456,"coach_contact_completed",Events!$D$4:$D$1456,"&gt;="&amp;($B298+0),Events!$D$4:$D$1456,"&lt;="&amp;($B298+7))&gt;0,1,0)</x:f>
        <x:v>1</x:v>
      </x:c>
      <x:c r="F298" s="50" t="n">
        <x:f>IF($B298&lt;='Scorecard'!$B$3-37,1,0)</x:f>
        <x:v>1</x:v>
      </x:c>
      <x:c r="G298" s="50" t="n">
        <x:f>IF(COUNTIFS(Events!$B$4:$B$1456,$A298,Events!$C$4:$C$1456,"day30_checkin_completed",Events!$D$4:$D$1456,"&gt;="&amp;($B298+28),Events!$D$4:$D$1456,"&lt;="&amp;($B298+37))&gt;0,1,0)</x:f>
        <x:v>1</x:v>
      </x:c>
      <x:c r="H298" s="50" t="n">
        <x:f>IF($B298&lt;='Scorecard'!$B$3-74,1,0)</x:f>
        <x:v>1</x:v>
      </x:c>
      <x:c r="I298" s="50" t="n">
        <x:f>IF(COUNTIFS(Events!$B$4:$B$1456,$A298,Events!$C$4:$C$1456,"day60_activity_observed",Events!$D$4:$D$1456,"&gt;="&amp;($B298+60),Events!$D$4:$D$1456,"&lt;="&amp;($B298+74))&gt;0,1,0)</x:f>
        <x:v>1</x:v>
      </x:c>
    </x:row>
    <x:row r="299">
      <x:c r="A299" s="50" t="str">
        <x:f>Members!A299</x:f>
        <x:v>SYN0296</x:v>
      </x:c>
      <x:c r="B299" s="51" t="n">
        <x:f>Members!B299</x:f>
        <x:v>46038</x:v>
      </x:c>
      <x:c r="C299" s="50" t="str">
        <x:f>Members!C299</x:f>
        <x:v>Employer</x:v>
      </x:c>
      <x:c r="D299" s="50" t="n">
        <x:f>IF($B299&lt;='Scorecard'!$B$3-7,1,0)</x:f>
        <x:v>1</x:v>
      </x:c>
      <x:c r="E299" s="50" t="n">
        <x:f>IF(COUNTIFS(Events!$B$4:$B$1456,$A299,Events!$C$4:$C$1456,"coach_contact_completed",Events!$D$4:$D$1456,"&gt;="&amp;($B299+0),Events!$D$4:$D$1456,"&lt;="&amp;($B299+7))&gt;0,1,0)</x:f>
        <x:v>1</x:v>
      </x:c>
      <x:c r="F299" s="50" t="n">
        <x:f>IF($B299&lt;='Scorecard'!$B$3-37,1,0)</x:f>
        <x:v>1</x:v>
      </x:c>
      <x:c r="G299" s="50" t="n">
        <x:f>IF(COUNTIFS(Events!$B$4:$B$1456,$A299,Events!$C$4:$C$1456,"day30_checkin_completed",Events!$D$4:$D$1456,"&gt;="&amp;($B299+28),Events!$D$4:$D$1456,"&lt;="&amp;($B299+37))&gt;0,1,0)</x:f>
        <x:v>0</x:v>
      </x:c>
      <x:c r="H299" s="50" t="n">
        <x:f>IF($B299&lt;='Scorecard'!$B$3-74,1,0)</x:f>
        <x:v>1</x:v>
      </x:c>
      <x:c r="I299" s="50" t="n">
        <x:f>IF(COUNTIFS(Events!$B$4:$B$1456,$A299,Events!$C$4:$C$1456,"day60_activity_observed",Events!$D$4:$D$1456,"&gt;="&amp;($B299+60),Events!$D$4:$D$1456,"&lt;="&amp;($B299+74))&gt;0,1,0)</x:f>
        <x:v>1</x:v>
      </x:c>
    </x:row>
    <x:row r="300">
      <x:c r="A300" s="50" t="str">
        <x:f>Members!A300</x:f>
        <x:v>SYN0297</x:v>
      </x:c>
      <x:c r="B300" s="51" t="n">
        <x:f>Members!B300</x:f>
        <x:v>46132</x:v>
      </x:c>
      <x:c r="C300" s="50" t="str">
        <x:f>Members!C300</x:f>
        <x:v>Employer</x:v>
      </x:c>
      <x:c r="D300" s="50" t="n">
        <x:f>IF($B300&lt;='Scorecard'!$B$3-7,1,0)</x:f>
        <x:v>1</x:v>
      </x:c>
      <x:c r="E300" s="50" t="n">
        <x:f>IF(COUNTIFS(Events!$B$4:$B$1456,$A300,Events!$C$4:$C$1456,"coach_contact_completed",Events!$D$4:$D$1456,"&gt;="&amp;($B300+0),Events!$D$4:$D$1456,"&lt;="&amp;($B300+7))&gt;0,1,0)</x:f>
        <x:v>1</x:v>
      </x:c>
      <x:c r="F300" s="50" t="n">
        <x:f>IF($B300&lt;='Scorecard'!$B$3-37,1,0)</x:f>
        <x:v>1</x:v>
      </x:c>
      <x:c r="G300" s="50" t="n">
        <x:f>IF(COUNTIFS(Events!$B$4:$B$1456,$A300,Events!$C$4:$C$1456,"day30_checkin_completed",Events!$D$4:$D$1456,"&gt;="&amp;($B300+28),Events!$D$4:$D$1456,"&lt;="&amp;($B300+37))&gt;0,1,0)</x:f>
        <x:v>1</x:v>
      </x:c>
      <x:c r="H300" s="50" t="n">
        <x:f>IF($B300&lt;='Scorecard'!$B$3-74,1,0)</x:f>
        <x:v>1</x:v>
      </x:c>
      <x:c r="I300" s="50" t="n">
        <x:f>IF(COUNTIFS(Events!$B$4:$B$1456,$A300,Events!$C$4:$C$1456,"day60_activity_observed",Events!$D$4:$D$1456,"&gt;="&amp;($B300+60),Events!$D$4:$D$1456,"&lt;="&amp;($B300+74))&gt;0,1,0)</x:f>
        <x:v>1</x:v>
      </x:c>
    </x:row>
    <x:row r="301">
      <x:c r="A301" s="50" t="str">
        <x:f>Members!A301</x:f>
        <x:v>SYN0298</x:v>
      </x:c>
      <x:c r="B301" s="51" t="n">
        <x:f>Members!B301</x:f>
        <x:v>46088</x:v>
      </x:c>
      <x:c r="C301" s="50" t="str">
        <x:f>Members!C301</x:f>
        <x:v>Employer</x:v>
      </x:c>
      <x:c r="D301" s="50" t="n">
        <x:f>IF($B301&lt;='Scorecard'!$B$3-7,1,0)</x:f>
        <x:v>1</x:v>
      </x:c>
      <x:c r="E301" s="50" t="n">
        <x:f>IF(COUNTIFS(Events!$B$4:$B$1456,$A301,Events!$C$4:$C$1456,"coach_contact_completed",Events!$D$4:$D$1456,"&gt;="&amp;($B301+0),Events!$D$4:$D$1456,"&lt;="&amp;($B301+7))&gt;0,1,0)</x:f>
        <x:v>0</x:v>
      </x:c>
      <x:c r="F301" s="50" t="n">
        <x:f>IF($B301&lt;='Scorecard'!$B$3-37,1,0)</x:f>
        <x:v>1</x:v>
      </x:c>
      <x:c r="G301" s="50" t="n">
        <x:f>IF(COUNTIFS(Events!$B$4:$B$1456,$A301,Events!$C$4:$C$1456,"day30_checkin_completed",Events!$D$4:$D$1456,"&gt;="&amp;($B301+28),Events!$D$4:$D$1456,"&lt;="&amp;($B301+37))&gt;0,1,0)</x:f>
        <x:v>1</x:v>
      </x:c>
      <x:c r="H301" s="50" t="n">
        <x:f>IF($B301&lt;='Scorecard'!$B$3-74,1,0)</x:f>
        <x:v>1</x:v>
      </x:c>
      <x:c r="I301" s="50" t="n">
        <x:f>IF(COUNTIFS(Events!$B$4:$B$1456,$A301,Events!$C$4:$C$1456,"day60_activity_observed",Events!$D$4:$D$1456,"&gt;="&amp;($B301+60),Events!$D$4:$D$1456,"&lt;="&amp;($B301+74))&gt;0,1,0)</x:f>
        <x:v>1</x:v>
      </x:c>
    </x:row>
    <x:row r="302">
      <x:c r="A302" s="50" t="str">
        <x:f>Members!A302</x:f>
        <x:v>SYN0299</x:v>
      </x:c>
      <x:c r="B302" s="51" t="n">
        <x:f>Members!B302</x:f>
        <x:v>46077</x:v>
      </x:c>
      <x:c r="C302" s="50" t="str">
        <x:f>Members!C302</x:f>
        <x:v>Employer</x:v>
      </x:c>
      <x:c r="D302" s="50" t="n">
        <x:f>IF($B302&lt;='Scorecard'!$B$3-7,1,0)</x:f>
        <x:v>1</x:v>
      </x:c>
      <x:c r="E302" s="50" t="n">
        <x:f>IF(COUNTIFS(Events!$B$4:$B$1456,$A302,Events!$C$4:$C$1456,"coach_contact_completed",Events!$D$4:$D$1456,"&gt;="&amp;($B302+0),Events!$D$4:$D$1456,"&lt;="&amp;($B302+7))&gt;0,1,0)</x:f>
        <x:v>1</x:v>
      </x:c>
      <x:c r="F302" s="50" t="n">
        <x:f>IF($B302&lt;='Scorecard'!$B$3-37,1,0)</x:f>
        <x:v>1</x:v>
      </x:c>
      <x:c r="G302" s="50" t="n">
        <x:f>IF(COUNTIFS(Events!$B$4:$B$1456,$A302,Events!$C$4:$C$1456,"day30_checkin_completed",Events!$D$4:$D$1456,"&gt;="&amp;($B302+28),Events!$D$4:$D$1456,"&lt;="&amp;($B302+37))&gt;0,1,0)</x:f>
        <x:v>0</x:v>
      </x:c>
      <x:c r="H302" s="50" t="n">
        <x:f>IF($B302&lt;='Scorecard'!$B$3-74,1,0)</x:f>
        <x:v>1</x:v>
      </x:c>
      <x:c r="I302" s="50" t="n">
        <x:f>IF(COUNTIFS(Events!$B$4:$B$1456,$A302,Events!$C$4:$C$1456,"day60_activity_observed",Events!$D$4:$D$1456,"&gt;="&amp;($B302+60),Events!$D$4:$D$1456,"&lt;="&amp;($B302+74))&gt;0,1,0)</x:f>
        <x:v>1</x:v>
      </x:c>
    </x:row>
    <x:row r="303">
      <x:c r="A303" s="50" t="str">
        <x:f>Members!A303</x:f>
        <x:v>SYN0300</x:v>
      </x:c>
      <x:c r="B303" s="51" t="n">
        <x:f>Members!B303</x:f>
        <x:v>46229</x:v>
      </x:c>
      <x:c r="C303" s="50" t="str">
        <x:f>Members!C303</x:f>
        <x:v>Employer</x:v>
      </x:c>
      <x:c r="D303" s="50" t="n">
        <x:f>IF($B303&lt;='Scorecard'!$B$3-7,1,0)</x:f>
        <x:v>1</x:v>
      </x:c>
      <x:c r="E303" s="50" t="n">
        <x:f>IF(COUNTIFS(Events!$B$4:$B$1456,$A303,Events!$C$4:$C$1456,"coach_contact_completed",Events!$D$4:$D$1456,"&gt;="&amp;($B303+0),Events!$D$4:$D$1456,"&lt;="&amp;($B303+7))&gt;0,1,0)</x:f>
        <x:v>0</x:v>
      </x:c>
      <x:c r="F303" s="50" t="n">
        <x:f>IF($B303&lt;='Scorecard'!$B$3-37,1,0)</x:f>
        <x:v>1</x:v>
      </x:c>
      <x:c r="G303" s="50" t="n">
        <x:f>IF(COUNTIFS(Events!$B$4:$B$1456,$A303,Events!$C$4:$C$1456,"day30_checkin_completed",Events!$D$4:$D$1456,"&gt;="&amp;($B303+28),Events!$D$4:$D$1456,"&lt;="&amp;($B303+37))&gt;0,1,0)</x:f>
        <x:v>0</x:v>
      </x:c>
      <x:c r="H303" s="50" t="n">
        <x:f>IF($B303&lt;='Scorecard'!$B$3-74,1,0)</x:f>
        <x:v>0</x:v>
      </x:c>
      <x:c r="I303" s="50" t="n">
        <x:f>IF(COUNTIFS(Events!$B$4:$B$1456,$A303,Events!$C$4:$C$1456,"day60_activity_observed",Events!$D$4:$D$1456,"&gt;="&amp;($B303+60),Events!$D$4:$D$1456,"&lt;="&amp;($B303+74))&gt;0,1,0)</x:f>
        <x:v>1</x:v>
      </x:c>
    </x:row>
    <x:row r="304">
      <x:c r="A304" s="50" t="str">
        <x:f>Members!A304</x:f>
        <x:v>SYN0301</x:v>
      </x:c>
      <x:c r="B304" s="51" t="n">
        <x:f>Members!B304</x:f>
        <x:v>46094</x:v>
      </x:c>
      <x:c r="C304" s="50" t="str">
        <x:f>Members!C304</x:f>
        <x:v>Employer</x:v>
      </x:c>
      <x:c r="D304" s="50" t="n">
        <x:f>IF($B304&lt;='Scorecard'!$B$3-7,1,0)</x:f>
        <x:v>1</x:v>
      </x:c>
      <x:c r="E304" s="50" t="n">
        <x:f>IF(COUNTIFS(Events!$B$4:$B$1456,$A304,Events!$C$4:$C$1456,"coach_contact_completed",Events!$D$4:$D$1456,"&gt;="&amp;($B304+0),Events!$D$4:$D$1456,"&lt;="&amp;($B304+7))&gt;0,1,0)</x:f>
        <x:v>1</x:v>
      </x:c>
      <x:c r="F304" s="50" t="n">
        <x:f>IF($B304&lt;='Scorecard'!$B$3-37,1,0)</x:f>
        <x:v>1</x:v>
      </x:c>
      <x:c r="G304" s="50" t="n">
        <x:f>IF(COUNTIFS(Events!$B$4:$B$1456,$A304,Events!$C$4:$C$1456,"day30_checkin_completed",Events!$D$4:$D$1456,"&gt;="&amp;($B304+28),Events!$D$4:$D$1456,"&lt;="&amp;($B304+37))&gt;0,1,0)</x:f>
        <x:v>1</x:v>
      </x:c>
      <x:c r="H304" s="50" t="n">
        <x:f>IF($B304&lt;='Scorecard'!$B$3-74,1,0)</x:f>
        <x:v>1</x:v>
      </x:c>
      <x:c r="I304" s="50" t="n">
        <x:f>IF(COUNTIFS(Events!$B$4:$B$1456,$A304,Events!$C$4:$C$1456,"day60_activity_observed",Events!$D$4:$D$1456,"&gt;="&amp;($B304+60),Events!$D$4:$D$1456,"&lt;="&amp;($B304+74))&gt;0,1,0)</x:f>
        <x:v>1</x:v>
      </x:c>
    </x:row>
    <x:row r="305">
      <x:c r="A305" s="50" t="str">
        <x:f>Members!A305</x:f>
        <x:v>SYN0302</x:v>
      </x:c>
      <x:c r="B305" s="51" t="n">
        <x:f>Members!B305</x:f>
        <x:v>46173</x:v>
      </x:c>
      <x:c r="C305" s="50" t="str">
        <x:f>Members!C305</x:f>
        <x:v>Employer</x:v>
      </x:c>
      <x:c r="D305" s="50" t="n">
        <x:f>IF($B305&lt;='Scorecard'!$B$3-7,1,0)</x:f>
        <x:v>1</x:v>
      </x:c>
      <x:c r="E305" s="50" t="n">
        <x:f>IF(COUNTIFS(Events!$B$4:$B$1456,$A305,Events!$C$4:$C$1456,"coach_contact_completed",Events!$D$4:$D$1456,"&gt;="&amp;($B305+0),Events!$D$4:$D$1456,"&lt;="&amp;($B305+7))&gt;0,1,0)</x:f>
        <x:v>0</x:v>
      </x:c>
      <x:c r="F305" s="50" t="n">
        <x:f>IF($B305&lt;='Scorecard'!$B$3-37,1,0)</x:f>
        <x:v>1</x:v>
      </x:c>
      <x:c r="G305" s="50" t="n">
        <x:f>IF(COUNTIFS(Events!$B$4:$B$1456,$A305,Events!$C$4:$C$1456,"day30_checkin_completed",Events!$D$4:$D$1456,"&gt;="&amp;($B305+28),Events!$D$4:$D$1456,"&lt;="&amp;($B305+37))&gt;0,1,0)</x:f>
        <x:v>1</x:v>
      </x:c>
      <x:c r="H305" s="50" t="n">
        <x:f>IF($B305&lt;='Scorecard'!$B$3-74,1,0)</x:f>
        <x:v>1</x:v>
      </x:c>
      <x:c r="I305" s="50" t="n">
        <x:f>IF(COUNTIFS(Events!$B$4:$B$1456,$A305,Events!$C$4:$C$1456,"day60_activity_observed",Events!$D$4:$D$1456,"&gt;="&amp;($B305+60),Events!$D$4:$D$1456,"&lt;="&amp;($B305+74))&gt;0,1,0)</x:f>
        <x:v>0</x:v>
      </x:c>
    </x:row>
    <x:row r="306">
      <x:c r="A306" s="50" t="str">
        <x:f>Members!A306</x:f>
        <x:v>SYN0303</x:v>
      </x:c>
      <x:c r="B306" s="51" t="n">
        <x:f>Members!B306</x:f>
        <x:v>46207</x:v>
      </x:c>
      <x:c r="C306" s="50" t="str">
        <x:f>Members!C306</x:f>
        <x:v>Employer</x:v>
      </x:c>
      <x:c r="D306" s="50" t="n">
        <x:f>IF($B306&lt;='Scorecard'!$B$3-7,1,0)</x:f>
        <x:v>1</x:v>
      </x:c>
      <x:c r="E306" s="50" t="n">
        <x:f>IF(COUNTIFS(Events!$B$4:$B$1456,$A306,Events!$C$4:$C$1456,"coach_contact_completed",Events!$D$4:$D$1456,"&gt;="&amp;($B306+0),Events!$D$4:$D$1456,"&lt;="&amp;($B306+7))&gt;0,1,0)</x:f>
        <x:v>1</x:v>
      </x:c>
      <x:c r="F306" s="50" t="n">
        <x:f>IF($B306&lt;='Scorecard'!$B$3-37,1,0)</x:f>
        <x:v>1</x:v>
      </x:c>
      <x:c r="G306" s="50" t="n">
        <x:f>IF(COUNTIFS(Events!$B$4:$B$1456,$A306,Events!$C$4:$C$1456,"day30_checkin_completed",Events!$D$4:$D$1456,"&gt;="&amp;($B306+28),Events!$D$4:$D$1456,"&lt;="&amp;($B306+37))&gt;0,1,0)</x:f>
        <x:v>1</x:v>
      </x:c>
      <x:c r="H306" s="50" t="n">
        <x:f>IF($B306&lt;='Scorecard'!$B$3-74,1,0)</x:f>
        <x:v>1</x:v>
      </x:c>
      <x:c r="I306" s="50" t="n">
        <x:f>IF(COUNTIFS(Events!$B$4:$B$1456,$A306,Events!$C$4:$C$1456,"day60_activity_observed",Events!$D$4:$D$1456,"&gt;="&amp;($B306+60),Events!$D$4:$D$1456,"&lt;="&amp;($B306+74))&gt;0,1,0)</x:f>
        <x:v>1</x:v>
      </x:c>
    </x:row>
    <x:row r="307">
      <x:c r="A307" s="50" t="str">
        <x:f>Members!A307</x:f>
        <x:v>SYN0304</x:v>
      </x:c>
      <x:c r="B307" s="51" t="n">
        <x:f>Members!B307</x:f>
        <x:v>46127</x:v>
      </x:c>
      <x:c r="C307" s="50" t="str">
        <x:f>Members!C307</x:f>
        <x:v>Direct</x:v>
      </x:c>
      <x:c r="D307" s="50" t="n">
        <x:f>IF($B307&lt;='Scorecard'!$B$3-7,1,0)</x:f>
        <x:v>1</x:v>
      </x:c>
      <x:c r="E307" s="50" t="n">
        <x:f>IF(COUNTIFS(Events!$B$4:$B$1456,$A307,Events!$C$4:$C$1456,"coach_contact_completed",Events!$D$4:$D$1456,"&gt;="&amp;($B307+0),Events!$D$4:$D$1456,"&lt;="&amp;($B307+7))&gt;0,1,0)</x:f>
        <x:v>0</x:v>
      </x:c>
      <x:c r="F307" s="50" t="n">
        <x:f>IF($B307&lt;='Scorecard'!$B$3-37,1,0)</x:f>
        <x:v>1</x:v>
      </x:c>
      <x:c r="G307" s="50" t="n">
        <x:f>IF(COUNTIFS(Events!$B$4:$B$1456,$A307,Events!$C$4:$C$1456,"day30_checkin_completed",Events!$D$4:$D$1456,"&gt;="&amp;($B307+28),Events!$D$4:$D$1456,"&lt;="&amp;($B307+37))&gt;0,1,0)</x:f>
        <x:v>1</x:v>
      </x:c>
      <x:c r="H307" s="50" t="n">
        <x:f>IF($B307&lt;='Scorecard'!$B$3-74,1,0)</x:f>
        <x:v>1</x:v>
      </x:c>
      <x:c r="I307" s="50" t="n">
        <x:f>IF(COUNTIFS(Events!$B$4:$B$1456,$A307,Events!$C$4:$C$1456,"day60_activity_observed",Events!$D$4:$D$1456,"&gt;="&amp;($B307+60),Events!$D$4:$D$1456,"&lt;="&amp;($B307+74))&gt;0,1,0)</x:f>
        <x:v>1</x:v>
      </x:c>
    </x:row>
    <x:row r="308">
      <x:c r="A308" s="50" t="str">
        <x:f>Members!A308</x:f>
        <x:v>SYN0305</x:v>
      </x:c>
      <x:c r="B308" s="51" t="n">
        <x:f>Members!B308</x:f>
        <x:v>46033</x:v>
      </x:c>
      <x:c r="C308" s="50" t="str">
        <x:f>Members!C308</x:f>
        <x:v>Employer</x:v>
      </x:c>
      <x:c r="D308" s="50" t="n">
        <x:f>IF($B308&lt;='Scorecard'!$B$3-7,1,0)</x:f>
        <x:v>1</x:v>
      </x:c>
      <x:c r="E308" s="50" t="n">
        <x:f>IF(COUNTIFS(Events!$B$4:$B$1456,$A308,Events!$C$4:$C$1456,"coach_contact_completed",Events!$D$4:$D$1456,"&gt;="&amp;($B308+0),Events!$D$4:$D$1456,"&lt;="&amp;($B308+7))&gt;0,1,0)</x:f>
        <x:v>0</x:v>
      </x:c>
      <x:c r="F308" s="50" t="n">
        <x:f>IF($B308&lt;='Scorecard'!$B$3-37,1,0)</x:f>
        <x:v>1</x:v>
      </x:c>
      <x:c r="G308" s="50" t="n">
        <x:f>IF(COUNTIFS(Events!$B$4:$B$1456,$A308,Events!$C$4:$C$1456,"day30_checkin_completed",Events!$D$4:$D$1456,"&gt;="&amp;($B308+28),Events!$D$4:$D$1456,"&lt;="&amp;($B308+37))&gt;0,1,0)</x:f>
        <x:v>1</x:v>
      </x:c>
      <x:c r="H308" s="50" t="n">
        <x:f>IF($B308&lt;='Scorecard'!$B$3-74,1,0)</x:f>
        <x:v>1</x:v>
      </x:c>
      <x:c r="I308" s="50" t="n">
        <x:f>IF(COUNTIFS(Events!$B$4:$B$1456,$A308,Events!$C$4:$C$1456,"day60_activity_observed",Events!$D$4:$D$1456,"&gt;="&amp;($B308+60),Events!$D$4:$D$1456,"&lt;="&amp;($B308+74))&gt;0,1,0)</x:f>
        <x:v>1</x:v>
      </x:c>
    </x:row>
    <x:row r="309">
      <x:c r="A309" s="50" t="str">
        <x:f>Members!A309</x:f>
        <x:v>SYN0306</x:v>
      </x:c>
      <x:c r="B309" s="51" t="n">
        <x:f>Members!B309</x:f>
        <x:v>46229</x:v>
      </x:c>
      <x:c r="C309" s="50" t="str">
        <x:f>Members!C309</x:f>
        <x:v>Direct</x:v>
      </x:c>
      <x:c r="D309" s="50" t="n">
        <x:f>IF($B309&lt;='Scorecard'!$B$3-7,1,0)</x:f>
        <x:v>1</x:v>
      </x:c>
      <x:c r="E309" s="50" t="n">
        <x:f>IF(COUNTIFS(Events!$B$4:$B$1456,$A309,Events!$C$4:$C$1456,"coach_contact_completed",Events!$D$4:$D$1456,"&gt;="&amp;($B309+0),Events!$D$4:$D$1456,"&lt;="&amp;($B309+7))&gt;0,1,0)</x:f>
        <x:v>1</x:v>
      </x:c>
      <x:c r="F309" s="50" t="n">
        <x:f>IF($B309&lt;='Scorecard'!$B$3-37,1,0)</x:f>
        <x:v>1</x:v>
      </x:c>
      <x:c r="G309" s="50" t="n">
        <x:f>IF(COUNTIFS(Events!$B$4:$B$1456,$A309,Events!$C$4:$C$1456,"day30_checkin_completed",Events!$D$4:$D$1456,"&gt;="&amp;($B309+28),Events!$D$4:$D$1456,"&lt;="&amp;($B309+37))&gt;0,1,0)</x:f>
        <x:v>1</x:v>
      </x:c>
      <x:c r="H309" s="50" t="n">
        <x:f>IF($B309&lt;='Scorecard'!$B$3-74,1,0)</x:f>
        <x:v>0</x:v>
      </x:c>
      <x:c r="I309" s="50" t="n">
        <x:f>IF(COUNTIFS(Events!$B$4:$B$1456,$A309,Events!$C$4:$C$1456,"day60_activity_observed",Events!$D$4:$D$1456,"&gt;="&amp;($B309+60),Events!$D$4:$D$1456,"&lt;="&amp;($B309+74))&gt;0,1,0)</x:f>
        <x:v>0</x:v>
      </x:c>
    </x:row>
    <x:row r="310">
      <x:c r="A310" s="50" t="str">
        <x:f>Members!A310</x:f>
        <x:v>SYN0307</x:v>
      </x:c>
      <x:c r="B310" s="51" t="n">
        <x:f>Members!B310</x:f>
        <x:v>46071</x:v>
      </x:c>
      <x:c r="C310" s="50" t="str">
        <x:f>Members!C310</x:f>
        <x:v>Direct</x:v>
      </x:c>
      <x:c r="D310" s="50" t="n">
        <x:f>IF($B310&lt;='Scorecard'!$B$3-7,1,0)</x:f>
        <x:v>1</x:v>
      </x:c>
      <x:c r="E310" s="50" t="n">
        <x:f>IF(COUNTIFS(Events!$B$4:$B$1456,$A310,Events!$C$4:$C$1456,"coach_contact_completed",Events!$D$4:$D$1456,"&gt;="&amp;($B310+0),Events!$D$4:$D$1456,"&lt;="&amp;($B310+7))&gt;0,1,0)</x:f>
        <x:v>1</x:v>
      </x:c>
      <x:c r="F310" s="50" t="n">
        <x:f>IF($B310&lt;='Scorecard'!$B$3-37,1,0)</x:f>
        <x:v>1</x:v>
      </x:c>
      <x:c r="G310" s="50" t="n">
        <x:f>IF(COUNTIFS(Events!$B$4:$B$1456,$A310,Events!$C$4:$C$1456,"day30_checkin_completed",Events!$D$4:$D$1456,"&gt;="&amp;($B310+28),Events!$D$4:$D$1456,"&lt;="&amp;($B310+37))&gt;0,1,0)</x:f>
        <x:v>1</x:v>
      </x:c>
      <x:c r="H310" s="50" t="n">
        <x:f>IF($B310&lt;='Scorecard'!$B$3-74,1,0)</x:f>
        <x:v>1</x:v>
      </x:c>
      <x:c r="I310" s="50" t="n">
        <x:f>IF(COUNTIFS(Events!$B$4:$B$1456,$A310,Events!$C$4:$C$1456,"day60_activity_observed",Events!$D$4:$D$1456,"&gt;="&amp;($B310+60),Events!$D$4:$D$1456,"&lt;="&amp;($B310+74))&gt;0,1,0)</x:f>
        <x:v>0</x:v>
      </x:c>
    </x:row>
    <x:row r="311">
      <x:c r="A311" s="50" t="str">
        <x:f>Members!A311</x:f>
        <x:v>SYN0308</x:v>
      </x:c>
      <x:c r="B311" s="51" t="n">
        <x:f>Members!B311</x:f>
        <x:v>46167</x:v>
      </x:c>
      <x:c r="C311" s="50" t="str">
        <x:f>Members!C311</x:f>
        <x:v>Direct</x:v>
      </x:c>
      <x:c r="D311" s="50" t="n">
        <x:f>IF($B311&lt;='Scorecard'!$B$3-7,1,0)</x:f>
        <x:v>1</x:v>
      </x:c>
      <x:c r="E311" s="50" t="n">
        <x:f>IF(COUNTIFS(Events!$B$4:$B$1456,$A311,Events!$C$4:$C$1456,"coach_contact_completed",Events!$D$4:$D$1456,"&gt;="&amp;($B311+0),Events!$D$4:$D$1456,"&lt;="&amp;($B311+7))&gt;0,1,0)</x:f>
        <x:v>0</x:v>
      </x:c>
      <x:c r="F311" s="50" t="n">
        <x:f>IF($B311&lt;='Scorecard'!$B$3-37,1,0)</x:f>
        <x:v>1</x:v>
      </x:c>
      <x:c r="G311" s="50" t="n">
        <x:f>IF(COUNTIFS(Events!$B$4:$B$1456,$A311,Events!$C$4:$C$1456,"day30_checkin_completed",Events!$D$4:$D$1456,"&gt;="&amp;($B311+28),Events!$D$4:$D$1456,"&lt;="&amp;($B311+37))&gt;0,1,0)</x:f>
        <x:v>1</x:v>
      </x:c>
      <x:c r="H311" s="50" t="n">
        <x:f>IF($B311&lt;='Scorecard'!$B$3-74,1,0)</x:f>
        <x:v>1</x:v>
      </x:c>
      <x:c r="I311" s="50" t="n">
        <x:f>IF(COUNTIFS(Events!$B$4:$B$1456,$A311,Events!$C$4:$C$1456,"day60_activity_observed",Events!$D$4:$D$1456,"&gt;="&amp;($B311+60),Events!$D$4:$D$1456,"&lt;="&amp;($B311+74))&gt;0,1,0)</x:f>
        <x:v>0</x:v>
      </x:c>
    </x:row>
    <x:row r="312">
      <x:c r="A312" s="50" t="str">
        <x:f>Members!A312</x:f>
        <x:v>SYN0309</x:v>
      </x:c>
      <x:c r="B312" s="51" t="n">
        <x:f>Members!B312</x:f>
        <x:v>46147</x:v>
      </x:c>
      <x:c r="C312" s="50" t="str">
        <x:f>Members!C312</x:f>
        <x:v>Direct</x:v>
      </x:c>
      <x:c r="D312" s="50" t="n">
        <x:f>IF($B312&lt;='Scorecard'!$B$3-7,1,0)</x:f>
        <x:v>1</x:v>
      </x:c>
      <x:c r="E312" s="50" t="n">
        <x:f>IF(COUNTIFS(Events!$B$4:$B$1456,$A312,Events!$C$4:$C$1456,"coach_contact_completed",Events!$D$4:$D$1456,"&gt;="&amp;($B312+0),Events!$D$4:$D$1456,"&lt;="&amp;($B312+7))&gt;0,1,0)</x:f>
        <x:v>0</x:v>
      </x:c>
      <x:c r="F312" s="50" t="n">
        <x:f>IF($B312&lt;='Scorecard'!$B$3-37,1,0)</x:f>
        <x:v>1</x:v>
      </x:c>
      <x:c r="G312" s="50" t="n">
        <x:f>IF(COUNTIFS(Events!$B$4:$B$1456,$A312,Events!$C$4:$C$1456,"day30_checkin_completed",Events!$D$4:$D$1456,"&gt;="&amp;($B312+28),Events!$D$4:$D$1456,"&lt;="&amp;($B312+37))&gt;0,1,0)</x:f>
        <x:v>0</x:v>
      </x:c>
      <x:c r="H312" s="50" t="n">
        <x:f>IF($B312&lt;='Scorecard'!$B$3-74,1,0)</x:f>
        <x:v>1</x:v>
      </x:c>
      <x:c r="I312" s="50" t="n">
        <x:f>IF(COUNTIFS(Events!$B$4:$B$1456,$A312,Events!$C$4:$C$1456,"day60_activity_observed",Events!$D$4:$D$1456,"&gt;="&amp;($B312+60),Events!$D$4:$D$1456,"&lt;="&amp;($B312+74))&gt;0,1,0)</x:f>
        <x:v>1</x:v>
      </x:c>
    </x:row>
    <x:row r="313">
      <x:c r="A313" s="50" t="str">
        <x:f>Members!A313</x:f>
        <x:v>SYN0310</x:v>
      </x:c>
      <x:c r="B313" s="51" t="n">
        <x:f>Members!B313</x:f>
        <x:v>46072</x:v>
      </x:c>
      <x:c r="C313" s="50" t="str">
        <x:f>Members!C313</x:f>
        <x:v>Direct</x:v>
      </x:c>
      <x:c r="D313" s="50" t="n">
        <x:f>IF($B313&lt;='Scorecard'!$B$3-7,1,0)</x:f>
        <x:v>1</x:v>
      </x:c>
      <x:c r="E313" s="50" t="n">
        <x:f>IF(COUNTIFS(Events!$B$4:$B$1456,$A313,Events!$C$4:$C$1456,"coach_contact_completed",Events!$D$4:$D$1456,"&gt;="&amp;($B313+0),Events!$D$4:$D$1456,"&lt;="&amp;($B313+7))&gt;0,1,0)</x:f>
        <x:v>1</x:v>
      </x:c>
      <x:c r="F313" s="50" t="n">
        <x:f>IF($B313&lt;='Scorecard'!$B$3-37,1,0)</x:f>
        <x:v>1</x:v>
      </x:c>
      <x:c r="G313" s="50" t="n">
        <x:f>IF(COUNTIFS(Events!$B$4:$B$1456,$A313,Events!$C$4:$C$1456,"day30_checkin_completed",Events!$D$4:$D$1456,"&gt;="&amp;($B313+28),Events!$D$4:$D$1456,"&lt;="&amp;($B313+37))&gt;0,1,0)</x:f>
        <x:v>1</x:v>
      </x:c>
      <x:c r="H313" s="50" t="n">
        <x:f>IF($B313&lt;='Scorecard'!$B$3-74,1,0)</x:f>
        <x:v>1</x:v>
      </x:c>
      <x:c r="I313" s="50" t="n">
        <x:f>IF(COUNTIFS(Events!$B$4:$B$1456,$A313,Events!$C$4:$C$1456,"day60_activity_observed",Events!$D$4:$D$1456,"&gt;="&amp;($B313+60),Events!$D$4:$D$1456,"&lt;="&amp;($B313+74))&gt;0,1,0)</x:f>
        <x:v>0</x:v>
      </x:c>
    </x:row>
    <x:row r="314">
      <x:c r="A314" s="50" t="str">
        <x:f>Members!A314</x:f>
        <x:v>SYN0311</x:v>
      </x:c>
      <x:c r="B314" s="51" t="n">
        <x:f>Members!B314</x:f>
        <x:v>46099</x:v>
      </x:c>
      <x:c r="C314" s="50" t="str">
        <x:f>Members!C314</x:f>
        <x:v>Direct</x:v>
      </x:c>
      <x:c r="D314" s="50" t="n">
        <x:f>IF($B314&lt;='Scorecard'!$B$3-7,1,0)</x:f>
        <x:v>1</x:v>
      </x:c>
      <x:c r="E314" s="50" t="n">
        <x:f>IF(COUNTIFS(Events!$B$4:$B$1456,$A314,Events!$C$4:$C$1456,"coach_contact_completed",Events!$D$4:$D$1456,"&gt;="&amp;($B314+0),Events!$D$4:$D$1456,"&lt;="&amp;($B314+7))&gt;0,1,0)</x:f>
        <x:v>1</x:v>
      </x:c>
      <x:c r="F314" s="50" t="n">
        <x:f>IF($B314&lt;='Scorecard'!$B$3-37,1,0)</x:f>
        <x:v>1</x:v>
      </x:c>
      <x:c r="G314" s="50" t="n">
        <x:f>IF(COUNTIFS(Events!$B$4:$B$1456,$A314,Events!$C$4:$C$1456,"day30_checkin_completed",Events!$D$4:$D$1456,"&gt;="&amp;($B314+28),Events!$D$4:$D$1456,"&lt;="&amp;($B314+37))&gt;0,1,0)</x:f>
        <x:v>0</x:v>
      </x:c>
      <x:c r="H314" s="50" t="n">
        <x:f>IF($B314&lt;='Scorecard'!$B$3-74,1,0)</x:f>
        <x:v>1</x:v>
      </x:c>
      <x:c r="I314" s="50" t="n">
        <x:f>IF(COUNTIFS(Events!$B$4:$B$1456,$A314,Events!$C$4:$C$1456,"day60_activity_observed",Events!$D$4:$D$1456,"&gt;="&amp;($B314+60),Events!$D$4:$D$1456,"&lt;="&amp;($B314+74))&gt;0,1,0)</x:f>
        <x:v>1</x:v>
      </x:c>
    </x:row>
    <x:row r="315">
      <x:c r="A315" s="50" t="str">
        <x:f>Members!A315</x:f>
        <x:v>SYN0312</x:v>
      </x:c>
      <x:c r="B315" s="51" t="n">
        <x:f>Members!B315</x:f>
        <x:v>46124</x:v>
      </x:c>
      <x:c r="C315" s="50" t="str">
        <x:f>Members!C315</x:f>
        <x:v>Employer</x:v>
      </x:c>
      <x:c r="D315" s="50" t="n">
        <x:f>IF($B315&lt;='Scorecard'!$B$3-7,1,0)</x:f>
        <x:v>1</x:v>
      </x:c>
      <x:c r="E315" s="50" t="n">
        <x:f>IF(COUNTIFS(Events!$B$4:$B$1456,$A315,Events!$C$4:$C$1456,"coach_contact_completed",Events!$D$4:$D$1456,"&gt;="&amp;($B315+0),Events!$D$4:$D$1456,"&lt;="&amp;($B315+7))&gt;0,1,0)</x:f>
        <x:v>0</x:v>
      </x:c>
      <x:c r="F315" s="50" t="n">
        <x:f>IF($B315&lt;='Scorecard'!$B$3-37,1,0)</x:f>
        <x:v>1</x:v>
      </x:c>
      <x:c r="G315" s="50" t="n">
        <x:f>IF(COUNTIFS(Events!$B$4:$B$1456,$A315,Events!$C$4:$C$1456,"day30_checkin_completed",Events!$D$4:$D$1456,"&gt;="&amp;($B315+28),Events!$D$4:$D$1456,"&lt;="&amp;($B315+37))&gt;0,1,0)</x:f>
        <x:v>1</x:v>
      </x:c>
      <x:c r="H315" s="50" t="n">
        <x:f>IF($B315&lt;='Scorecard'!$B$3-74,1,0)</x:f>
        <x:v>1</x:v>
      </x:c>
      <x:c r="I315" s="50" t="n">
        <x:f>IF(COUNTIFS(Events!$B$4:$B$1456,$A315,Events!$C$4:$C$1456,"day60_activity_observed",Events!$D$4:$D$1456,"&gt;="&amp;($B315+60),Events!$D$4:$D$1456,"&lt;="&amp;($B315+74))&gt;0,1,0)</x:f>
        <x:v>0</x:v>
      </x:c>
    </x:row>
    <x:row r="316">
      <x:c r="A316" s="50" t="str">
        <x:f>Members!A316</x:f>
        <x:v>SYN0313</x:v>
      </x:c>
      <x:c r="B316" s="51" t="n">
        <x:f>Members!B316</x:f>
        <x:v>46031</x:v>
      </x:c>
      <x:c r="C316" s="50" t="str">
        <x:f>Members!C316</x:f>
        <x:v>Employer</x:v>
      </x:c>
      <x:c r="D316" s="50" t="n">
        <x:f>IF($B316&lt;='Scorecard'!$B$3-7,1,0)</x:f>
        <x:v>1</x:v>
      </x:c>
      <x:c r="E316" s="50" t="n">
        <x:f>IF(COUNTIFS(Events!$B$4:$B$1456,$A316,Events!$C$4:$C$1456,"coach_contact_completed",Events!$D$4:$D$1456,"&gt;="&amp;($B316+0),Events!$D$4:$D$1456,"&lt;="&amp;($B316+7))&gt;0,1,0)</x:f>
        <x:v>0</x:v>
      </x:c>
      <x:c r="F316" s="50" t="n">
        <x:f>IF($B316&lt;='Scorecard'!$B$3-37,1,0)</x:f>
        <x:v>1</x:v>
      </x:c>
      <x:c r="G316" s="50" t="n">
        <x:f>IF(COUNTIFS(Events!$B$4:$B$1456,$A316,Events!$C$4:$C$1456,"day30_checkin_completed",Events!$D$4:$D$1456,"&gt;="&amp;($B316+28),Events!$D$4:$D$1456,"&lt;="&amp;($B316+37))&gt;0,1,0)</x:f>
        <x:v>1</x:v>
      </x:c>
      <x:c r="H316" s="50" t="n">
        <x:f>IF($B316&lt;='Scorecard'!$B$3-74,1,0)</x:f>
        <x:v>1</x:v>
      </x:c>
      <x:c r="I316" s="50" t="n">
        <x:f>IF(COUNTIFS(Events!$B$4:$B$1456,$A316,Events!$C$4:$C$1456,"day60_activity_observed",Events!$D$4:$D$1456,"&gt;="&amp;($B316+60),Events!$D$4:$D$1456,"&lt;="&amp;($B316+74))&gt;0,1,0)</x:f>
        <x:v>0</x:v>
      </x:c>
    </x:row>
    <x:row r="317">
      <x:c r="A317" s="50" t="str">
        <x:f>Members!A317</x:f>
        <x:v>SYN0314</x:v>
      </x:c>
      <x:c r="B317" s="51" t="n">
        <x:f>Members!B317</x:f>
        <x:v>46153</x:v>
      </x:c>
      <x:c r="C317" s="50" t="str">
        <x:f>Members!C317</x:f>
        <x:v>Direct</x:v>
      </x:c>
      <x:c r="D317" s="50" t="n">
        <x:f>IF($B317&lt;='Scorecard'!$B$3-7,1,0)</x:f>
        <x:v>1</x:v>
      </x:c>
      <x:c r="E317" s="50" t="n">
        <x:f>IF(COUNTIFS(Events!$B$4:$B$1456,$A317,Events!$C$4:$C$1456,"coach_contact_completed",Events!$D$4:$D$1456,"&gt;="&amp;($B317+0),Events!$D$4:$D$1456,"&lt;="&amp;($B317+7))&gt;0,1,0)</x:f>
        <x:v>0</x:v>
      </x:c>
      <x:c r="F317" s="50" t="n">
        <x:f>IF($B317&lt;='Scorecard'!$B$3-37,1,0)</x:f>
        <x:v>1</x:v>
      </x:c>
      <x:c r="G317" s="50" t="n">
        <x:f>IF(COUNTIFS(Events!$B$4:$B$1456,$A317,Events!$C$4:$C$1456,"day30_checkin_completed",Events!$D$4:$D$1456,"&gt;="&amp;($B317+28),Events!$D$4:$D$1456,"&lt;="&amp;($B317+37))&gt;0,1,0)</x:f>
        <x:v>1</x:v>
      </x:c>
      <x:c r="H317" s="50" t="n">
        <x:f>IF($B317&lt;='Scorecard'!$B$3-74,1,0)</x:f>
        <x:v>1</x:v>
      </x:c>
      <x:c r="I317" s="50" t="n">
        <x:f>IF(COUNTIFS(Events!$B$4:$B$1456,$A317,Events!$C$4:$C$1456,"day60_activity_observed",Events!$D$4:$D$1456,"&gt;="&amp;($B317+60),Events!$D$4:$D$1456,"&lt;="&amp;($B317+74))&gt;0,1,0)</x:f>
        <x:v>0</x:v>
      </x:c>
    </x:row>
    <x:row r="318">
      <x:c r="A318" s="50" t="str">
        <x:f>Members!A318</x:f>
        <x:v>SYN0315</x:v>
      </x:c>
      <x:c r="B318" s="51" t="n">
        <x:f>Members!B318</x:f>
        <x:v>46144</x:v>
      </x:c>
      <x:c r="C318" s="50" t="str">
        <x:f>Members!C318</x:f>
        <x:v>Direct</x:v>
      </x:c>
      <x:c r="D318" s="50" t="n">
        <x:f>IF($B318&lt;='Scorecard'!$B$3-7,1,0)</x:f>
        <x:v>1</x:v>
      </x:c>
      <x:c r="E318" s="50" t="n">
        <x:f>IF(COUNTIFS(Events!$B$4:$B$1456,$A318,Events!$C$4:$C$1456,"coach_contact_completed",Events!$D$4:$D$1456,"&gt;="&amp;($B318+0),Events!$D$4:$D$1456,"&lt;="&amp;($B318+7))&gt;0,1,0)</x:f>
        <x:v>0</x:v>
      </x:c>
      <x:c r="F318" s="50" t="n">
        <x:f>IF($B318&lt;='Scorecard'!$B$3-37,1,0)</x:f>
        <x:v>1</x:v>
      </x:c>
      <x:c r="G318" s="50" t="n">
        <x:f>IF(COUNTIFS(Events!$B$4:$B$1456,$A318,Events!$C$4:$C$1456,"day30_checkin_completed",Events!$D$4:$D$1456,"&gt;="&amp;($B318+28),Events!$D$4:$D$1456,"&lt;="&amp;($B318+37))&gt;0,1,0)</x:f>
        <x:v>0</x:v>
      </x:c>
      <x:c r="H318" s="50" t="n">
        <x:f>IF($B318&lt;='Scorecard'!$B$3-74,1,0)</x:f>
        <x:v>1</x:v>
      </x:c>
      <x:c r="I318" s="50" t="n">
        <x:f>IF(COUNTIFS(Events!$B$4:$B$1456,$A318,Events!$C$4:$C$1456,"day60_activity_observed",Events!$D$4:$D$1456,"&gt;="&amp;($B318+60),Events!$D$4:$D$1456,"&lt;="&amp;($B318+74))&gt;0,1,0)</x:f>
        <x:v>1</x:v>
      </x:c>
    </x:row>
    <x:row r="319">
      <x:c r="A319" s="50" t="str">
        <x:f>Members!A319</x:f>
        <x:v>SYN0316</x:v>
      </x:c>
      <x:c r="B319" s="51" t="n">
        <x:f>Members!B319</x:f>
        <x:v>46115</x:v>
      </x:c>
      <x:c r="C319" s="50" t="str">
        <x:f>Members!C319</x:f>
        <x:v>Direct</x:v>
      </x:c>
      <x:c r="D319" s="50" t="n">
        <x:f>IF($B319&lt;='Scorecard'!$B$3-7,1,0)</x:f>
        <x:v>1</x:v>
      </x:c>
      <x:c r="E319" s="50" t="n">
        <x:f>IF(COUNTIFS(Events!$B$4:$B$1456,$A319,Events!$C$4:$C$1456,"coach_contact_completed",Events!$D$4:$D$1456,"&gt;="&amp;($B319+0),Events!$D$4:$D$1456,"&lt;="&amp;($B319+7))&gt;0,1,0)</x:f>
        <x:v>0</x:v>
      </x:c>
      <x:c r="F319" s="50" t="n">
        <x:f>IF($B319&lt;='Scorecard'!$B$3-37,1,0)</x:f>
        <x:v>1</x:v>
      </x:c>
      <x:c r="G319" s="50" t="n">
        <x:f>IF(COUNTIFS(Events!$B$4:$B$1456,$A319,Events!$C$4:$C$1456,"day30_checkin_completed",Events!$D$4:$D$1456,"&gt;="&amp;($B319+28),Events!$D$4:$D$1456,"&lt;="&amp;($B319+37))&gt;0,1,0)</x:f>
        <x:v>1</x:v>
      </x:c>
      <x:c r="H319" s="50" t="n">
        <x:f>IF($B319&lt;='Scorecard'!$B$3-74,1,0)</x:f>
        <x:v>1</x:v>
      </x:c>
      <x:c r="I319" s="50" t="n">
        <x:f>IF(COUNTIFS(Events!$B$4:$B$1456,$A319,Events!$C$4:$C$1456,"day60_activity_observed",Events!$D$4:$D$1456,"&gt;="&amp;($B319+60),Events!$D$4:$D$1456,"&lt;="&amp;($B319+74))&gt;0,1,0)</x:f>
        <x:v>0</x:v>
      </x:c>
    </x:row>
    <x:row r="320">
      <x:c r="A320" s="50" t="str">
        <x:f>Members!A320</x:f>
        <x:v>SYN0317</x:v>
      </x:c>
      <x:c r="B320" s="51" t="n">
        <x:f>Members!B320</x:f>
        <x:v>46243</x:v>
      </x:c>
      <x:c r="C320" s="50" t="str">
        <x:f>Members!C320</x:f>
        <x:v>Direct</x:v>
      </x:c>
      <x:c r="D320" s="50" t="n">
        <x:f>IF($B320&lt;='Scorecard'!$B$3-7,1,0)</x:f>
        <x:v>1</x:v>
      </x:c>
      <x:c r="E320" s="50" t="n">
        <x:f>IF(COUNTIFS(Events!$B$4:$B$1456,$A320,Events!$C$4:$C$1456,"coach_contact_completed",Events!$D$4:$D$1456,"&gt;="&amp;($B320+0),Events!$D$4:$D$1456,"&lt;="&amp;($B320+7))&gt;0,1,0)</x:f>
        <x:v>1</x:v>
      </x:c>
      <x:c r="F320" s="50" t="n">
        <x:f>IF($B320&lt;='Scorecard'!$B$3-37,1,0)</x:f>
        <x:v>1</x:v>
      </x:c>
      <x:c r="G320" s="50" t="n">
        <x:f>IF(COUNTIFS(Events!$B$4:$B$1456,$A320,Events!$C$4:$C$1456,"day30_checkin_completed",Events!$D$4:$D$1456,"&gt;="&amp;($B320+28),Events!$D$4:$D$1456,"&lt;="&amp;($B320+37))&gt;0,1,0)</x:f>
        <x:v>1</x:v>
      </x:c>
      <x:c r="H320" s="50" t="n">
        <x:f>IF($B320&lt;='Scorecard'!$B$3-74,1,0)</x:f>
        <x:v>0</x:v>
      </x:c>
      <x:c r="I320" s="50" t="n">
        <x:f>IF(COUNTIFS(Events!$B$4:$B$1456,$A320,Events!$C$4:$C$1456,"day60_activity_observed",Events!$D$4:$D$1456,"&gt;="&amp;($B320+60),Events!$D$4:$D$1456,"&lt;="&amp;($B320+74))&gt;0,1,0)</x:f>
        <x:v>0</x:v>
      </x:c>
    </x:row>
    <x:row r="321">
      <x:c r="A321" s="50" t="str">
        <x:f>Members!A321</x:f>
        <x:v>SYN0318</x:v>
      </x:c>
      <x:c r="B321" s="51" t="n">
        <x:f>Members!B321</x:f>
        <x:v>46109</x:v>
      </x:c>
      <x:c r="C321" s="50" t="str">
        <x:f>Members!C321</x:f>
        <x:v>Direct</x:v>
      </x:c>
      <x:c r="D321" s="50" t="n">
        <x:f>IF($B321&lt;='Scorecard'!$B$3-7,1,0)</x:f>
        <x:v>1</x:v>
      </x:c>
      <x:c r="E321" s="50" t="n">
        <x:f>IF(COUNTIFS(Events!$B$4:$B$1456,$A321,Events!$C$4:$C$1456,"coach_contact_completed",Events!$D$4:$D$1456,"&gt;="&amp;($B321+0),Events!$D$4:$D$1456,"&lt;="&amp;($B321+7))&gt;0,1,0)</x:f>
        <x:v>1</x:v>
      </x:c>
      <x:c r="F321" s="50" t="n">
        <x:f>IF($B321&lt;='Scorecard'!$B$3-37,1,0)</x:f>
        <x:v>1</x:v>
      </x:c>
      <x:c r="G321" s="50" t="n">
        <x:f>IF(COUNTIFS(Events!$B$4:$B$1456,$A321,Events!$C$4:$C$1456,"day30_checkin_completed",Events!$D$4:$D$1456,"&gt;="&amp;($B321+28),Events!$D$4:$D$1456,"&lt;="&amp;($B321+37))&gt;0,1,0)</x:f>
        <x:v>1</x:v>
      </x:c>
      <x:c r="H321" s="50" t="n">
        <x:f>IF($B321&lt;='Scorecard'!$B$3-74,1,0)</x:f>
        <x:v>1</x:v>
      </x:c>
      <x:c r="I321" s="50" t="n">
        <x:f>IF(COUNTIFS(Events!$B$4:$B$1456,$A321,Events!$C$4:$C$1456,"day60_activity_observed",Events!$D$4:$D$1456,"&gt;="&amp;($B321+60),Events!$D$4:$D$1456,"&lt;="&amp;($B321+74))&gt;0,1,0)</x:f>
        <x:v>1</x:v>
      </x:c>
    </x:row>
    <x:row r="322">
      <x:c r="A322" s="50" t="str">
        <x:f>Members!A322</x:f>
        <x:v>SYN0319</x:v>
      </x:c>
      <x:c r="B322" s="51" t="n">
        <x:f>Members!B322</x:f>
        <x:v>46248</x:v>
      </x:c>
      <x:c r="C322" s="50" t="str">
        <x:f>Members!C322</x:f>
        <x:v>Employer</x:v>
      </x:c>
      <x:c r="D322" s="50" t="n">
        <x:f>IF($B322&lt;='Scorecard'!$B$3-7,1,0)</x:f>
        <x:v>1</x:v>
      </x:c>
      <x:c r="E322" s="50" t="n">
        <x:f>IF(COUNTIFS(Events!$B$4:$B$1456,$A322,Events!$C$4:$C$1456,"coach_contact_completed",Events!$D$4:$D$1456,"&gt;="&amp;($B322+0),Events!$D$4:$D$1456,"&lt;="&amp;($B322+7))&gt;0,1,0)</x:f>
        <x:v>0</x:v>
      </x:c>
      <x:c r="F322" s="50" t="n">
        <x:f>IF($B322&lt;='Scorecard'!$B$3-37,1,0)</x:f>
        <x:v>1</x:v>
      </x:c>
      <x:c r="G322" s="50" t="n">
        <x:f>IF(COUNTIFS(Events!$B$4:$B$1456,$A322,Events!$C$4:$C$1456,"day30_checkin_completed",Events!$D$4:$D$1456,"&gt;="&amp;($B322+28),Events!$D$4:$D$1456,"&lt;="&amp;($B322+37))&gt;0,1,0)</x:f>
        <x:v>1</x:v>
      </x:c>
      <x:c r="H322" s="50" t="n">
        <x:f>IF($B322&lt;='Scorecard'!$B$3-74,1,0)</x:f>
        <x:v>0</x:v>
      </x:c>
      <x:c r="I322" s="50" t="n">
        <x:f>IF(COUNTIFS(Events!$B$4:$B$1456,$A322,Events!$C$4:$C$1456,"day60_activity_observed",Events!$D$4:$D$1456,"&gt;="&amp;($B322+60),Events!$D$4:$D$1456,"&lt;="&amp;($B322+74))&gt;0,1,0)</x:f>
        <x:v>0</x:v>
      </x:c>
    </x:row>
    <x:row r="323">
      <x:c r="A323" s="50" t="str">
        <x:f>Members!A323</x:f>
        <x:v>SYN0320</x:v>
      </x:c>
      <x:c r="B323" s="51" t="n">
        <x:f>Members!B323</x:f>
        <x:v>46175</x:v>
      </x:c>
      <x:c r="C323" s="50" t="str">
        <x:f>Members!C323</x:f>
        <x:v>Direct</x:v>
      </x:c>
      <x:c r="D323" s="50" t="n">
        <x:f>IF($B323&lt;='Scorecard'!$B$3-7,1,0)</x:f>
        <x:v>1</x:v>
      </x:c>
      <x:c r="E323" s="50" t="n">
        <x:f>IF(COUNTIFS(Events!$B$4:$B$1456,$A323,Events!$C$4:$C$1456,"coach_contact_completed",Events!$D$4:$D$1456,"&gt;="&amp;($B323+0),Events!$D$4:$D$1456,"&lt;="&amp;($B323+7))&gt;0,1,0)</x:f>
        <x:v>1</x:v>
      </x:c>
      <x:c r="F323" s="50" t="n">
        <x:f>IF($B323&lt;='Scorecard'!$B$3-37,1,0)</x:f>
        <x:v>1</x:v>
      </x:c>
      <x:c r="G323" s="50" t="n">
        <x:f>IF(COUNTIFS(Events!$B$4:$B$1456,$A323,Events!$C$4:$C$1456,"day30_checkin_completed",Events!$D$4:$D$1456,"&gt;="&amp;($B323+28),Events!$D$4:$D$1456,"&lt;="&amp;($B323+37))&gt;0,1,0)</x:f>
        <x:v>1</x:v>
      </x:c>
      <x:c r="H323" s="50" t="n">
        <x:f>IF($B323&lt;='Scorecard'!$B$3-74,1,0)</x:f>
        <x:v>1</x:v>
      </x:c>
      <x:c r="I323" s="50" t="n">
        <x:f>IF(COUNTIFS(Events!$B$4:$B$1456,$A323,Events!$C$4:$C$1456,"day60_activity_observed",Events!$D$4:$D$1456,"&gt;="&amp;($B323+60),Events!$D$4:$D$1456,"&lt;="&amp;($B323+74))&gt;0,1,0)</x:f>
        <x:v>0</x:v>
      </x:c>
    </x:row>
    <x:row r="324">
      <x:c r="A324" s="50" t="str">
        <x:f>Members!A324</x:f>
        <x:v>SYN0321</x:v>
      </x:c>
      <x:c r="B324" s="51" t="n">
        <x:f>Members!B324</x:f>
        <x:v>46263</x:v>
      </x:c>
      <x:c r="C324" s="50" t="str">
        <x:f>Members!C324</x:f>
        <x:v>Direct</x:v>
      </x:c>
      <x:c r="D324" s="50" t="n">
        <x:f>IF($B324&lt;='Scorecard'!$B$3-7,1,0)</x:f>
        <x:v>1</x:v>
      </x:c>
      <x:c r="E324" s="50" t="n">
        <x:f>IF(COUNTIFS(Events!$B$4:$B$1456,$A324,Events!$C$4:$C$1456,"coach_contact_completed",Events!$D$4:$D$1456,"&gt;="&amp;($B324+0),Events!$D$4:$D$1456,"&lt;="&amp;($B324+7))&gt;0,1,0)</x:f>
        <x:v>1</x:v>
      </x:c>
      <x:c r="F324" s="50" t="n">
        <x:f>IF($B324&lt;='Scorecard'!$B$3-37,1,0)</x:f>
        <x:v>0</x:v>
      </x:c>
      <x:c r="G324" s="50" t="n">
        <x:f>IF(COUNTIFS(Events!$B$4:$B$1456,$A324,Events!$C$4:$C$1456,"day30_checkin_completed",Events!$D$4:$D$1456,"&gt;="&amp;($B324+28),Events!$D$4:$D$1456,"&lt;="&amp;($B324+37))&gt;0,1,0)</x:f>
        <x:v>0</x:v>
      </x:c>
      <x:c r="H324" s="50" t="n">
        <x:f>IF($B324&lt;='Scorecard'!$B$3-74,1,0)</x:f>
        <x:v>0</x:v>
      </x:c>
      <x:c r="I324" s="50" t="n">
        <x:f>IF(COUNTIFS(Events!$B$4:$B$1456,$A324,Events!$C$4:$C$1456,"day60_activity_observed",Events!$D$4:$D$1456,"&gt;="&amp;($B324+60),Events!$D$4:$D$1456,"&lt;="&amp;($B324+74))&gt;0,1,0)</x:f>
        <x:v>0</x:v>
      </x:c>
    </x:row>
    <x:row r="325">
      <x:c r="A325" s="50" t="str">
        <x:f>Members!A325</x:f>
        <x:v>SYN0322</x:v>
      </x:c>
      <x:c r="B325" s="51" t="n">
        <x:f>Members!B325</x:f>
        <x:v>46111</x:v>
      </x:c>
      <x:c r="C325" s="50" t="str">
        <x:f>Members!C325</x:f>
        <x:v>Employer</x:v>
      </x:c>
      <x:c r="D325" s="50" t="n">
        <x:f>IF($B325&lt;='Scorecard'!$B$3-7,1,0)</x:f>
        <x:v>1</x:v>
      </x:c>
      <x:c r="E325" s="50" t="n">
        <x:f>IF(COUNTIFS(Events!$B$4:$B$1456,$A325,Events!$C$4:$C$1456,"coach_contact_completed",Events!$D$4:$D$1456,"&gt;="&amp;($B325+0),Events!$D$4:$D$1456,"&lt;="&amp;($B325+7))&gt;0,1,0)</x:f>
        <x:v>1</x:v>
      </x:c>
      <x:c r="F325" s="50" t="n">
        <x:f>IF($B325&lt;='Scorecard'!$B$3-37,1,0)</x:f>
        <x:v>1</x:v>
      </x:c>
      <x:c r="G325" s="50" t="n">
        <x:f>IF(COUNTIFS(Events!$B$4:$B$1456,$A325,Events!$C$4:$C$1456,"day30_checkin_completed",Events!$D$4:$D$1456,"&gt;="&amp;($B325+28),Events!$D$4:$D$1456,"&lt;="&amp;($B325+37))&gt;0,1,0)</x:f>
        <x:v>1</x:v>
      </x:c>
      <x:c r="H325" s="50" t="n">
        <x:f>IF($B325&lt;='Scorecard'!$B$3-74,1,0)</x:f>
        <x:v>1</x:v>
      </x:c>
      <x:c r="I325" s="50" t="n">
        <x:f>IF(COUNTIFS(Events!$B$4:$B$1456,$A325,Events!$C$4:$C$1456,"day60_activity_observed",Events!$D$4:$D$1456,"&gt;="&amp;($B325+60),Events!$D$4:$D$1456,"&lt;="&amp;($B325+74))&gt;0,1,0)</x:f>
        <x:v>0</x:v>
      </x:c>
    </x:row>
    <x:row r="326">
      <x:c r="A326" s="50" t="str">
        <x:f>Members!A326</x:f>
        <x:v>SYN0323</x:v>
      </x:c>
      <x:c r="B326" s="51" t="n">
        <x:f>Members!B326</x:f>
        <x:v>46087</x:v>
      </x:c>
      <x:c r="C326" s="50" t="str">
        <x:f>Members!C326</x:f>
        <x:v>Direct</x:v>
      </x:c>
      <x:c r="D326" s="50" t="n">
        <x:f>IF($B326&lt;='Scorecard'!$B$3-7,1,0)</x:f>
        <x:v>1</x:v>
      </x:c>
      <x:c r="E326" s="50" t="n">
        <x:f>IF(COUNTIFS(Events!$B$4:$B$1456,$A326,Events!$C$4:$C$1456,"coach_contact_completed",Events!$D$4:$D$1456,"&gt;="&amp;($B326+0),Events!$D$4:$D$1456,"&lt;="&amp;($B326+7))&gt;0,1,0)</x:f>
        <x:v>1</x:v>
      </x:c>
      <x:c r="F326" s="50" t="n">
        <x:f>IF($B326&lt;='Scorecard'!$B$3-37,1,0)</x:f>
        <x:v>1</x:v>
      </x:c>
      <x:c r="G326" s="50" t="n">
        <x:f>IF(COUNTIFS(Events!$B$4:$B$1456,$A326,Events!$C$4:$C$1456,"day30_checkin_completed",Events!$D$4:$D$1456,"&gt;="&amp;($B326+28),Events!$D$4:$D$1456,"&lt;="&amp;($B326+37))&gt;0,1,0)</x:f>
        <x:v>1</x:v>
      </x:c>
      <x:c r="H326" s="50" t="n">
        <x:f>IF($B326&lt;='Scorecard'!$B$3-74,1,0)</x:f>
        <x:v>1</x:v>
      </x:c>
      <x:c r="I326" s="50" t="n">
        <x:f>IF(COUNTIFS(Events!$B$4:$B$1456,$A326,Events!$C$4:$C$1456,"day60_activity_observed",Events!$D$4:$D$1456,"&gt;="&amp;($B326+60),Events!$D$4:$D$1456,"&lt;="&amp;($B326+74))&gt;0,1,0)</x:f>
        <x:v>0</x:v>
      </x:c>
    </x:row>
    <x:row r="327">
      <x:c r="A327" s="50" t="str">
        <x:f>Members!A327</x:f>
        <x:v>SYN0324</x:v>
      </x:c>
      <x:c r="B327" s="51" t="n">
        <x:f>Members!B327</x:f>
        <x:v>46098</x:v>
      </x:c>
      <x:c r="C327" s="50" t="str">
        <x:f>Members!C327</x:f>
        <x:v>Employer</x:v>
      </x:c>
      <x:c r="D327" s="50" t="n">
        <x:f>IF($B327&lt;='Scorecard'!$B$3-7,1,0)</x:f>
        <x:v>1</x:v>
      </x:c>
      <x:c r="E327" s="50" t="n">
        <x:f>IF(COUNTIFS(Events!$B$4:$B$1456,$A327,Events!$C$4:$C$1456,"coach_contact_completed",Events!$D$4:$D$1456,"&gt;="&amp;($B327+0),Events!$D$4:$D$1456,"&lt;="&amp;($B327+7))&gt;0,1,0)</x:f>
        <x:v>0</x:v>
      </x:c>
      <x:c r="F327" s="50" t="n">
        <x:f>IF($B327&lt;='Scorecard'!$B$3-37,1,0)</x:f>
        <x:v>1</x:v>
      </x:c>
      <x:c r="G327" s="50" t="n">
        <x:f>IF(COUNTIFS(Events!$B$4:$B$1456,$A327,Events!$C$4:$C$1456,"day30_checkin_completed",Events!$D$4:$D$1456,"&gt;="&amp;($B327+28),Events!$D$4:$D$1456,"&lt;="&amp;($B327+37))&gt;0,1,0)</x:f>
        <x:v>0</x:v>
      </x:c>
      <x:c r="H327" s="50" t="n">
        <x:f>IF($B327&lt;='Scorecard'!$B$3-74,1,0)</x:f>
        <x:v>1</x:v>
      </x:c>
      <x:c r="I327" s="50" t="n">
        <x:f>IF(COUNTIFS(Events!$B$4:$B$1456,$A327,Events!$C$4:$C$1456,"day60_activity_observed",Events!$D$4:$D$1456,"&gt;="&amp;($B327+60),Events!$D$4:$D$1456,"&lt;="&amp;($B327+74))&gt;0,1,0)</x:f>
        <x:v>1</x:v>
      </x:c>
    </x:row>
    <x:row r="328">
      <x:c r="A328" s="50" t="str">
        <x:f>Members!A328</x:f>
        <x:v>SYN0325</x:v>
      </x:c>
      <x:c r="B328" s="51" t="n">
        <x:f>Members!B328</x:f>
        <x:v>46028</x:v>
      </x:c>
      <x:c r="C328" s="50" t="str">
        <x:f>Members!C328</x:f>
        <x:v>Direct</x:v>
      </x:c>
      <x:c r="D328" s="50" t="n">
        <x:f>IF($B328&lt;='Scorecard'!$B$3-7,1,0)</x:f>
        <x:v>1</x:v>
      </x:c>
      <x:c r="E328" s="50" t="n">
        <x:f>IF(COUNTIFS(Events!$B$4:$B$1456,$A328,Events!$C$4:$C$1456,"coach_contact_completed",Events!$D$4:$D$1456,"&gt;="&amp;($B328+0),Events!$D$4:$D$1456,"&lt;="&amp;($B328+7))&gt;0,1,0)</x:f>
        <x:v>1</x:v>
      </x:c>
      <x:c r="F328" s="50" t="n">
        <x:f>IF($B328&lt;='Scorecard'!$B$3-37,1,0)</x:f>
        <x:v>1</x:v>
      </x:c>
      <x:c r="G328" s="50" t="n">
        <x:f>IF(COUNTIFS(Events!$B$4:$B$1456,$A328,Events!$C$4:$C$1456,"day30_checkin_completed",Events!$D$4:$D$1456,"&gt;="&amp;($B328+28),Events!$D$4:$D$1456,"&lt;="&amp;($B328+37))&gt;0,1,0)</x:f>
        <x:v>0</x:v>
      </x:c>
      <x:c r="H328" s="50" t="n">
        <x:f>IF($B328&lt;='Scorecard'!$B$3-74,1,0)</x:f>
        <x:v>1</x:v>
      </x:c>
      <x:c r="I328" s="50" t="n">
        <x:f>IF(COUNTIFS(Events!$B$4:$B$1456,$A328,Events!$C$4:$C$1456,"day60_activity_observed",Events!$D$4:$D$1456,"&gt;="&amp;($B328+60),Events!$D$4:$D$1456,"&lt;="&amp;($B328+74))&gt;0,1,0)</x:f>
        <x:v>0</x:v>
      </x:c>
    </x:row>
    <x:row r="329">
      <x:c r="A329" s="50" t="str">
        <x:f>Members!A329</x:f>
        <x:v>SYN0326</x:v>
      </x:c>
      <x:c r="B329" s="51" t="n">
        <x:f>Members!B329</x:f>
        <x:v>46169</x:v>
      </x:c>
      <x:c r="C329" s="50" t="str">
        <x:f>Members!C329</x:f>
        <x:v>Employer</x:v>
      </x:c>
      <x:c r="D329" s="50" t="n">
        <x:f>IF($B329&lt;='Scorecard'!$B$3-7,1,0)</x:f>
        <x:v>1</x:v>
      </x:c>
      <x:c r="E329" s="50" t="n">
        <x:f>IF(COUNTIFS(Events!$B$4:$B$1456,$A329,Events!$C$4:$C$1456,"coach_contact_completed",Events!$D$4:$D$1456,"&gt;="&amp;($B329+0),Events!$D$4:$D$1456,"&lt;="&amp;($B329+7))&gt;0,1,0)</x:f>
        <x:v>0</x:v>
      </x:c>
      <x:c r="F329" s="50" t="n">
        <x:f>IF($B329&lt;='Scorecard'!$B$3-37,1,0)</x:f>
        <x:v>1</x:v>
      </x:c>
      <x:c r="G329" s="50" t="n">
        <x:f>IF(COUNTIFS(Events!$B$4:$B$1456,$A329,Events!$C$4:$C$1456,"day30_checkin_completed",Events!$D$4:$D$1456,"&gt;="&amp;($B329+28),Events!$D$4:$D$1456,"&lt;="&amp;($B329+37))&gt;0,1,0)</x:f>
        <x:v>0</x:v>
      </x:c>
      <x:c r="H329" s="50" t="n">
        <x:f>IF($B329&lt;='Scorecard'!$B$3-74,1,0)</x:f>
        <x:v>1</x:v>
      </x:c>
      <x:c r="I329" s="50" t="n">
        <x:f>IF(COUNTIFS(Events!$B$4:$B$1456,$A329,Events!$C$4:$C$1456,"day60_activity_observed",Events!$D$4:$D$1456,"&gt;="&amp;($B329+60),Events!$D$4:$D$1456,"&lt;="&amp;($B329+74))&gt;0,1,0)</x:f>
        <x:v>0</x:v>
      </x:c>
    </x:row>
    <x:row r="330">
      <x:c r="A330" s="50" t="str">
        <x:f>Members!A330</x:f>
        <x:v>SYN0327</x:v>
      </x:c>
      <x:c r="B330" s="51" t="n">
        <x:f>Members!B330</x:f>
        <x:v>46178</x:v>
      </x:c>
      <x:c r="C330" s="50" t="str">
        <x:f>Members!C330</x:f>
        <x:v>Direct</x:v>
      </x:c>
      <x:c r="D330" s="50" t="n">
        <x:f>IF($B330&lt;='Scorecard'!$B$3-7,1,0)</x:f>
        <x:v>1</x:v>
      </x:c>
      <x:c r="E330" s="50" t="n">
        <x:f>IF(COUNTIFS(Events!$B$4:$B$1456,$A330,Events!$C$4:$C$1456,"coach_contact_completed",Events!$D$4:$D$1456,"&gt;="&amp;($B330+0),Events!$D$4:$D$1456,"&lt;="&amp;($B330+7))&gt;0,1,0)</x:f>
        <x:v>1</x:v>
      </x:c>
      <x:c r="F330" s="50" t="n">
        <x:f>IF($B330&lt;='Scorecard'!$B$3-37,1,0)</x:f>
        <x:v>1</x:v>
      </x:c>
      <x:c r="G330" s="50" t="n">
        <x:f>IF(COUNTIFS(Events!$B$4:$B$1456,$A330,Events!$C$4:$C$1456,"day30_checkin_completed",Events!$D$4:$D$1456,"&gt;="&amp;($B330+28),Events!$D$4:$D$1456,"&lt;="&amp;($B330+37))&gt;0,1,0)</x:f>
        <x:v>1</x:v>
      </x:c>
      <x:c r="H330" s="50" t="n">
        <x:f>IF($B330&lt;='Scorecard'!$B$3-74,1,0)</x:f>
        <x:v>1</x:v>
      </x:c>
      <x:c r="I330" s="50" t="n">
        <x:f>IF(COUNTIFS(Events!$B$4:$B$1456,$A330,Events!$C$4:$C$1456,"day60_activity_observed",Events!$D$4:$D$1456,"&gt;="&amp;($B330+60),Events!$D$4:$D$1456,"&lt;="&amp;($B330+74))&gt;0,1,0)</x:f>
        <x:v>0</x:v>
      </x:c>
    </x:row>
    <x:row r="331">
      <x:c r="A331" s="50" t="str">
        <x:f>Members!A331</x:f>
        <x:v>SYN0328</x:v>
      </x:c>
      <x:c r="B331" s="51" t="n">
        <x:f>Members!B331</x:f>
        <x:v>46059</x:v>
      </x:c>
      <x:c r="C331" s="50" t="str">
        <x:f>Members!C331</x:f>
        <x:v>Direct</x:v>
      </x:c>
      <x:c r="D331" s="50" t="n">
        <x:f>IF($B331&lt;='Scorecard'!$B$3-7,1,0)</x:f>
        <x:v>1</x:v>
      </x:c>
      <x:c r="E331" s="50" t="n">
        <x:f>IF(COUNTIFS(Events!$B$4:$B$1456,$A331,Events!$C$4:$C$1456,"coach_contact_completed",Events!$D$4:$D$1456,"&gt;="&amp;($B331+0),Events!$D$4:$D$1456,"&lt;="&amp;($B331+7))&gt;0,1,0)</x:f>
        <x:v>1</x:v>
      </x:c>
      <x:c r="F331" s="50" t="n">
        <x:f>IF($B331&lt;='Scorecard'!$B$3-37,1,0)</x:f>
        <x:v>1</x:v>
      </x:c>
      <x:c r="G331" s="50" t="n">
        <x:f>IF(COUNTIFS(Events!$B$4:$B$1456,$A331,Events!$C$4:$C$1456,"day30_checkin_completed",Events!$D$4:$D$1456,"&gt;="&amp;($B331+28),Events!$D$4:$D$1456,"&lt;="&amp;($B331+37))&gt;0,1,0)</x:f>
        <x:v>0</x:v>
      </x:c>
      <x:c r="H331" s="50" t="n">
        <x:f>IF($B331&lt;='Scorecard'!$B$3-74,1,0)</x:f>
        <x:v>1</x:v>
      </x:c>
      <x:c r="I331" s="50" t="n">
        <x:f>IF(COUNTIFS(Events!$B$4:$B$1456,$A331,Events!$C$4:$C$1456,"day60_activity_observed",Events!$D$4:$D$1456,"&gt;="&amp;($B331+60),Events!$D$4:$D$1456,"&lt;="&amp;($B331+74))&gt;0,1,0)</x:f>
        <x:v>1</x:v>
      </x:c>
    </x:row>
    <x:row r="332">
      <x:c r="A332" s="50" t="str">
        <x:f>Members!A332</x:f>
        <x:v>SYN0329</x:v>
      </x:c>
      <x:c r="B332" s="51" t="n">
        <x:f>Members!B332</x:f>
        <x:v>46176</x:v>
      </x:c>
      <x:c r="C332" s="50" t="str">
        <x:f>Members!C332</x:f>
        <x:v>Direct</x:v>
      </x:c>
      <x:c r="D332" s="50" t="n">
        <x:f>IF($B332&lt;='Scorecard'!$B$3-7,1,0)</x:f>
        <x:v>1</x:v>
      </x:c>
      <x:c r="E332" s="50" t="n">
        <x:f>IF(COUNTIFS(Events!$B$4:$B$1456,$A332,Events!$C$4:$C$1456,"coach_contact_completed",Events!$D$4:$D$1456,"&gt;="&amp;($B332+0),Events!$D$4:$D$1456,"&lt;="&amp;($B332+7))&gt;0,1,0)</x:f>
        <x:v>1</x:v>
      </x:c>
      <x:c r="F332" s="50" t="n">
        <x:f>IF($B332&lt;='Scorecard'!$B$3-37,1,0)</x:f>
        <x:v>1</x:v>
      </x:c>
      <x:c r="G332" s="50" t="n">
        <x:f>IF(COUNTIFS(Events!$B$4:$B$1456,$A332,Events!$C$4:$C$1456,"day30_checkin_completed",Events!$D$4:$D$1456,"&gt;="&amp;($B332+28),Events!$D$4:$D$1456,"&lt;="&amp;($B332+37))&gt;0,1,0)</x:f>
        <x:v>1</x:v>
      </x:c>
      <x:c r="H332" s="50" t="n">
        <x:f>IF($B332&lt;='Scorecard'!$B$3-74,1,0)</x:f>
        <x:v>1</x:v>
      </x:c>
      <x:c r="I332" s="50" t="n">
        <x:f>IF(COUNTIFS(Events!$B$4:$B$1456,$A332,Events!$C$4:$C$1456,"day60_activity_observed",Events!$D$4:$D$1456,"&gt;="&amp;($B332+60),Events!$D$4:$D$1456,"&lt;="&amp;($B332+74))&gt;0,1,0)</x:f>
        <x:v>0</x:v>
      </x:c>
    </x:row>
    <x:row r="333">
      <x:c r="A333" s="50" t="str">
        <x:f>Members!A333</x:f>
        <x:v>SYN0330</x:v>
      </x:c>
      <x:c r="B333" s="51" t="n">
        <x:f>Members!B333</x:f>
        <x:v>46036</x:v>
      </x:c>
      <x:c r="C333" s="50" t="str">
        <x:f>Members!C333</x:f>
        <x:v>Direct</x:v>
      </x:c>
      <x:c r="D333" s="50" t="n">
        <x:f>IF($B333&lt;='Scorecard'!$B$3-7,1,0)</x:f>
        <x:v>1</x:v>
      </x:c>
      <x:c r="E333" s="50" t="n">
        <x:f>IF(COUNTIFS(Events!$B$4:$B$1456,$A333,Events!$C$4:$C$1456,"coach_contact_completed",Events!$D$4:$D$1456,"&gt;="&amp;($B333+0),Events!$D$4:$D$1456,"&lt;="&amp;($B333+7))&gt;0,1,0)</x:f>
        <x:v>1</x:v>
      </x:c>
      <x:c r="F333" s="50" t="n">
        <x:f>IF($B333&lt;='Scorecard'!$B$3-37,1,0)</x:f>
        <x:v>1</x:v>
      </x:c>
      <x:c r="G333" s="50" t="n">
        <x:f>IF(COUNTIFS(Events!$B$4:$B$1456,$A333,Events!$C$4:$C$1456,"day30_checkin_completed",Events!$D$4:$D$1456,"&gt;="&amp;($B333+28),Events!$D$4:$D$1456,"&lt;="&amp;($B333+37))&gt;0,1,0)</x:f>
        <x:v>1</x:v>
      </x:c>
      <x:c r="H333" s="50" t="n">
        <x:f>IF($B333&lt;='Scorecard'!$B$3-74,1,0)</x:f>
        <x:v>1</x:v>
      </x:c>
      <x:c r="I333" s="50" t="n">
        <x:f>IF(COUNTIFS(Events!$B$4:$B$1456,$A333,Events!$C$4:$C$1456,"day60_activity_observed",Events!$D$4:$D$1456,"&gt;="&amp;($B333+60),Events!$D$4:$D$1456,"&lt;="&amp;($B333+74))&gt;0,1,0)</x:f>
        <x:v>1</x:v>
      </x:c>
    </x:row>
    <x:row r="334">
      <x:c r="A334" s="50" t="str">
        <x:f>Members!A334</x:f>
        <x:v>SYN0331</x:v>
      </x:c>
      <x:c r="B334" s="51" t="n">
        <x:f>Members!B334</x:f>
        <x:v>46233</x:v>
      </x:c>
      <x:c r="C334" s="50" t="str">
        <x:f>Members!C334</x:f>
        <x:v>Direct</x:v>
      </x:c>
      <x:c r="D334" s="50" t="n">
        <x:f>IF($B334&lt;='Scorecard'!$B$3-7,1,0)</x:f>
        <x:v>1</x:v>
      </x:c>
      <x:c r="E334" s="50" t="n">
        <x:f>IF(COUNTIFS(Events!$B$4:$B$1456,$A334,Events!$C$4:$C$1456,"coach_contact_completed",Events!$D$4:$D$1456,"&gt;="&amp;($B334+0),Events!$D$4:$D$1456,"&lt;="&amp;($B334+7))&gt;0,1,0)</x:f>
        <x:v>0</x:v>
      </x:c>
      <x:c r="F334" s="50" t="n">
        <x:f>IF($B334&lt;='Scorecard'!$B$3-37,1,0)</x:f>
        <x:v>1</x:v>
      </x:c>
      <x:c r="G334" s="50" t="n">
        <x:f>IF(COUNTIFS(Events!$B$4:$B$1456,$A334,Events!$C$4:$C$1456,"day30_checkin_completed",Events!$D$4:$D$1456,"&gt;="&amp;($B334+28),Events!$D$4:$D$1456,"&lt;="&amp;($B334+37))&gt;0,1,0)</x:f>
        <x:v>0</x:v>
      </x:c>
      <x:c r="H334" s="50" t="n">
        <x:f>IF($B334&lt;='Scorecard'!$B$3-74,1,0)</x:f>
        <x:v>0</x:v>
      </x:c>
      <x:c r="I334" s="50" t="n">
        <x:f>IF(COUNTIFS(Events!$B$4:$B$1456,$A334,Events!$C$4:$C$1456,"day60_activity_observed",Events!$D$4:$D$1456,"&gt;="&amp;($B334+60),Events!$D$4:$D$1456,"&lt;="&amp;($B334+74))&gt;0,1,0)</x:f>
        <x:v>1</x:v>
      </x:c>
    </x:row>
    <x:row r="335">
      <x:c r="A335" s="50" t="str">
        <x:f>Members!A335</x:f>
        <x:v>SYN0332</x:v>
      </x:c>
      <x:c r="B335" s="51" t="n">
        <x:f>Members!B335</x:f>
        <x:v>46056</x:v>
      </x:c>
      <x:c r="C335" s="50" t="str">
        <x:f>Members!C335</x:f>
        <x:v>Employer</x:v>
      </x:c>
      <x:c r="D335" s="50" t="n">
        <x:f>IF($B335&lt;='Scorecard'!$B$3-7,1,0)</x:f>
        <x:v>1</x:v>
      </x:c>
      <x:c r="E335" s="50" t="n">
        <x:f>IF(COUNTIFS(Events!$B$4:$B$1456,$A335,Events!$C$4:$C$1456,"coach_contact_completed",Events!$D$4:$D$1456,"&gt;="&amp;($B335+0),Events!$D$4:$D$1456,"&lt;="&amp;($B335+7))&gt;0,1,0)</x:f>
        <x:v>1</x:v>
      </x:c>
      <x:c r="F335" s="50" t="n">
        <x:f>IF($B335&lt;='Scorecard'!$B$3-37,1,0)</x:f>
        <x:v>1</x:v>
      </x:c>
      <x:c r="G335" s="50" t="n">
        <x:f>IF(COUNTIFS(Events!$B$4:$B$1456,$A335,Events!$C$4:$C$1456,"day30_checkin_completed",Events!$D$4:$D$1456,"&gt;="&amp;($B335+28),Events!$D$4:$D$1456,"&lt;="&amp;($B335+37))&gt;0,1,0)</x:f>
        <x:v>1</x:v>
      </x:c>
      <x:c r="H335" s="50" t="n">
        <x:f>IF($B335&lt;='Scorecard'!$B$3-74,1,0)</x:f>
        <x:v>1</x:v>
      </x:c>
      <x:c r="I335" s="50" t="n">
        <x:f>IF(COUNTIFS(Events!$B$4:$B$1456,$A335,Events!$C$4:$C$1456,"day60_activity_observed",Events!$D$4:$D$1456,"&gt;="&amp;($B335+60),Events!$D$4:$D$1456,"&lt;="&amp;($B335+74))&gt;0,1,0)</x:f>
        <x:v>1</x:v>
      </x:c>
    </x:row>
    <x:row r="336">
      <x:c r="A336" s="50" t="str">
        <x:f>Members!A336</x:f>
        <x:v>SYN0333</x:v>
      </x:c>
      <x:c r="B336" s="51" t="n">
        <x:f>Members!B336</x:f>
        <x:v>46039</x:v>
      </x:c>
      <x:c r="C336" s="50" t="str">
        <x:f>Members!C336</x:f>
        <x:v>Direct</x:v>
      </x:c>
      <x:c r="D336" s="50" t="n">
        <x:f>IF($B336&lt;='Scorecard'!$B$3-7,1,0)</x:f>
        <x:v>1</x:v>
      </x:c>
      <x:c r="E336" s="50" t="n">
        <x:f>IF(COUNTIFS(Events!$B$4:$B$1456,$A336,Events!$C$4:$C$1456,"coach_contact_completed",Events!$D$4:$D$1456,"&gt;="&amp;($B336+0),Events!$D$4:$D$1456,"&lt;="&amp;($B336+7))&gt;0,1,0)</x:f>
        <x:v>1</x:v>
      </x:c>
      <x:c r="F336" s="50" t="n">
        <x:f>IF($B336&lt;='Scorecard'!$B$3-37,1,0)</x:f>
        <x:v>1</x:v>
      </x:c>
      <x:c r="G336" s="50" t="n">
        <x:f>IF(COUNTIFS(Events!$B$4:$B$1456,$A336,Events!$C$4:$C$1456,"day30_checkin_completed",Events!$D$4:$D$1456,"&gt;="&amp;($B336+28),Events!$D$4:$D$1456,"&lt;="&amp;($B336+37))&gt;0,1,0)</x:f>
        <x:v>1</x:v>
      </x:c>
      <x:c r="H336" s="50" t="n">
        <x:f>IF($B336&lt;='Scorecard'!$B$3-74,1,0)</x:f>
        <x:v>1</x:v>
      </x:c>
      <x:c r="I336" s="50" t="n">
        <x:f>IF(COUNTIFS(Events!$B$4:$B$1456,$A336,Events!$C$4:$C$1456,"day60_activity_observed",Events!$D$4:$D$1456,"&gt;="&amp;($B336+60),Events!$D$4:$D$1456,"&lt;="&amp;($B336+74))&gt;0,1,0)</x:f>
        <x:v>1</x:v>
      </x:c>
    </x:row>
    <x:row r="337">
      <x:c r="A337" s="50" t="str">
        <x:f>Members!A337</x:f>
        <x:v>SYN0334</x:v>
      </x:c>
      <x:c r="B337" s="51" t="n">
        <x:f>Members!B337</x:f>
        <x:v>46229</x:v>
      </x:c>
      <x:c r="C337" s="50" t="str">
        <x:f>Members!C337</x:f>
        <x:v>Employer</x:v>
      </x:c>
      <x:c r="D337" s="50" t="n">
        <x:f>IF($B337&lt;='Scorecard'!$B$3-7,1,0)</x:f>
        <x:v>1</x:v>
      </x:c>
      <x:c r="E337" s="50" t="n">
        <x:f>IF(COUNTIFS(Events!$B$4:$B$1456,$A337,Events!$C$4:$C$1456,"coach_contact_completed",Events!$D$4:$D$1456,"&gt;="&amp;($B337+0),Events!$D$4:$D$1456,"&lt;="&amp;($B337+7))&gt;0,1,0)</x:f>
        <x:v>1</x:v>
      </x:c>
      <x:c r="F337" s="50" t="n">
        <x:f>IF($B337&lt;='Scorecard'!$B$3-37,1,0)</x:f>
        <x:v>1</x:v>
      </x:c>
      <x:c r="G337" s="50" t="n">
        <x:f>IF(COUNTIFS(Events!$B$4:$B$1456,$A337,Events!$C$4:$C$1456,"day30_checkin_completed",Events!$D$4:$D$1456,"&gt;="&amp;($B337+28),Events!$D$4:$D$1456,"&lt;="&amp;($B337+37))&gt;0,1,0)</x:f>
        <x:v>1</x:v>
      </x:c>
      <x:c r="H337" s="50" t="n">
        <x:f>IF($B337&lt;='Scorecard'!$B$3-74,1,0)</x:f>
        <x:v>0</x:v>
      </x:c>
      <x:c r="I337" s="50" t="n">
        <x:f>IF(COUNTIFS(Events!$B$4:$B$1456,$A337,Events!$C$4:$C$1456,"day60_activity_observed",Events!$D$4:$D$1456,"&gt;="&amp;($B337+60),Events!$D$4:$D$1456,"&lt;="&amp;($B337+74))&gt;0,1,0)</x:f>
        <x:v>1</x:v>
      </x:c>
    </x:row>
    <x:row r="338">
      <x:c r="A338" s="50" t="str">
        <x:f>Members!A338</x:f>
        <x:v>SYN0335</x:v>
      </x:c>
      <x:c r="B338" s="51" t="n">
        <x:f>Members!B338</x:f>
        <x:v>46191</x:v>
      </x:c>
      <x:c r="C338" s="50" t="str">
        <x:f>Members!C338</x:f>
        <x:v>Direct</x:v>
      </x:c>
      <x:c r="D338" s="50" t="n">
        <x:f>IF($B338&lt;='Scorecard'!$B$3-7,1,0)</x:f>
        <x:v>1</x:v>
      </x:c>
      <x:c r="E338" s="50" t="n">
        <x:f>IF(COUNTIFS(Events!$B$4:$B$1456,$A338,Events!$C$4:$C$1456,"coach_contact_completed",Events!$D$4:$D$1456,"&gt;="&amp;($B338+0),Events!$D$4:$D$1456,"&lt;="&amp;($B338+7))&gt;0,1,0)</x:f>
        <x:v>0</x:v>
      </x:c>
      <x:c r="F338" s="50" t="n">
        <x:f>IF($B338&lt;='Scorecard'!$B$3-37,1,0)</x:f>
        <x:v>1</x:v>
      </x:c>
      <x:c r="G338" s="50" t="n">
        <x:f>IF(COUNTIFS(Events!$B$4:$B$1456,$A338,Events!$C$4:$C$1456,"day30_checkin_completed",Events!$D$4:$D$1456,"&gt;="&amp;($B338+28),Events!$D$4:$D$1456,"&lt;="&amp;($B338+37))&gt;0,1,0)</x:f>
        <x:v>0</x:v>
      </x:c>
      <x:c r="H338" s="50" t="n">
        <x:f>IF($B338&lt;='Scorecard'!$B$3-74,1,0)</x:f>
        <x:v>1</x:v>
      </x:c>
      <x:c r="I338" s="50" t="n">
        <x:f>IF(COUNTIFS(Events!$B$4:$B$1456,$A338,Events!$C$4:$C$1456,"day60_activity_observed",Events!$D$4:$D$1456,"&gt;="&amp;($B338+60),Events!$D$4:$D$1456,"&lt;="&amp;($B338+74))&gt;0,1,0)</x:f>
        <x:v>0</x:v>
      </x:c>
    </x:row>
    <x:row r="339">
      <x:c r="A339" s="50" t="str">
        <x:f>Members!A339</x:f>
        <x:v>SYN0336</x:v>
      </x:c>
      <x:c r="B339" s="51" t="n">
        <x:f>Members!B339</x:f>
        <x:v>46026</x:v>
      </x:c>
      <x:c r="C339" s="50" t="str">
        <x:f>Members!C339</x:f>
        <x:v>Employer</x:v>
      </x:c>
      <x:c r="D339" s="50" t="n">
        <x:f>IF($B339&lt;='Scorecard'!$B$3-7,1,0)</x:f>
        <x:v>1</x:v>
      </x:c>
      <x:c r="E339" s="50" t="n">
        <x:f>IF(COUNTIFS(Events!$B$4:$B$1456,$A339,Events!$C$4:$C$1456,"coach_contact_completed",Events!$D$4:$D$1456,"&gt;="&amp;($B339+0),Events!$D$4:$D$1456,"&lt;="&amp;($B339+7))&gt;0,1,0)</x:f>
        <x:v>0</x:v>
      </x:c>
      <x:c r="F339" s="50" t="n">
        <x:f>IF($B339&lt;='Scorecard'!$B$3-37,1,0)</x:f>
        <x:v>1</x:v>
      </x:c>
      <x:c r="G339" s="50" t="n">
        <x:f>IF(COUNTIFS(Events!$B$4:$B$1456,$A339,Events!$C$4:$C$1456,"day30_checkin_completed",Events!$D$4:$D$1456,"&gt;="&amp;($B339+28),Events!$D$4:$D$1456,"&lt;="&amp;($B339+37))&gt;0,1,0)</x:f>
        <x:v>1</x:v>
      </x:c>
      <x:c r="H339" s="50" t="n">
        <x:f>IF($B339&lt;='Scorecard'!$B$3-74,1,0)</x:f>
        <x:v>1</x:v>
      </x:c>
      <x:c r="I339" s="50" t="n">
        <x:f>IF(COUNTIFS(Events!$B$4:$B$1456,$A339,Events!$C$4:$C$1456,"day60_activity_observed",Events!$D$4:$D$1456,"&gt;="&amp;($B339+60),Events!$D$4:$D$1456,"&lt;="&amp;($B339+74))&gt;0,1,0)</x:f>
        <x:v>1</x:v>
      </x:c>
    </x:row>
    <x:row r="340">
      <x:c r="A340" s="50" t="str">
        <x:f>Members!A340</x:f>
        <x:v>SYN0337</x:v>
      </x:c>
      <x:c r="B340" s="51" t="n">
        <x:f>Members!B340</x:f>
        <x:v>46063</x:v>
      </x:c>
      <x:c r="C340" s="50" t="str">
        <x:f>Members!C340</x:f>
        <x:v>Direct</x:v>
      </x:c>
      <x:c r="D340" s="50" t="n">
        <x:f>IF($B340&lt;='Scorecard'!$B$3-7,1,0)</x:f>
        <x:v>1</x:v>
      </x:c>
      <x:c r="E340" s="50" t="n">
        <x:f>IF(COUNTIFS(Events!$B$4:$B$1456,$A340,Events!$C$4:$C$1456,"coach_contact_completed",Events!$D$4:$D$1456,"&gt;="&amp;($B340+0),Events!$D$4:$D$1456,"&lt;="&amp;($B340+7))&gt;0,1,0)</x:f>
        <x:v>0</x:v>
      </x:c>
      <x:c r="F340" s="50" t="n">
        <x:f>IF($B340&lt;='Scorecard'!$B$3-37,1,0)</x:f>
        <x:v>1</x:v>
      </x:c>
      <x:c r="G340" s="50" t="n">
        <x:f>IF(COUNTIFS(Events!$B$4:$B$1456,$A340,Events!$C$4:$C$1456,"day30_checkin_completed",Events!$D$4:$D$1456,"&gt;="&amp;($B340+28),Events!$D$4:$D$1456,"&lt;="&amp;($B340+37))&gt;0,1,0)</x:f>
        <x:v>1</x:v>
      </x:c>
      <x:c r="H340" s="50" t="n">
        <x:f>IF($B340&lt;='Scorecard'!$B$3-74,1,0)</x:f>
        <x:v>1</x:v>
      </x:c>
      <x:c r="I340" s="50" t="n">
        <x:f>IF(COUNTIFS(Events!$B$4:$B$1456,$A340,Events!$C$4:$C$1456,"day60_activity_observed",Events!$D$4:$D$1456,"&gt;="&amp;($B340+60),Events!$D$4:$D$1456,"&lt;="&amp;($B340+74))&gt;0,1,0)</x:f>
        <x:v>1</x:v>
      </x:c>
    </x:row>
    <x:row r="341">
      <x:c r="A341" s="50" t="str">
        <x:f>Members!A341</x:f>
        <x:v>SYN0338</x:v>
      </x:c>
      <x:c r="B341" s="51" t="n">
        <x:f>Members!B341</x:f>
        <x:v>46158</x:v>
      </x:c>
      <x:c r="C341" s="50" t="str">
        <x:f>Members!C341</x:f>
        <x:v>Direct</x:v>
      </x:c>
      <x:c r="D341" s="50" t="n">
        <x:f>IF($B341&lt;='Scorecard'!$B$3-7,1,0)</x:f>
        <x:v>1</x:v>
      </x:c>
      <x:c r="E341" s="50" t="n">
        <x:f>IF(COUNTIFS(Events!$B$4:$B$1456,$A341,Events!$C$4:$C$1456,"coach_contact_completed",Events!$D$4:$D$1456,"&gt;="&amp;($B341+0),Events!$D$4:$D$1456,"&lt;="&amp;($B341+7))&gt;0,1,0)</x:f>
        <x:v>1</x:v>
      </x:c>
      <x:c r="F341" s="50" t="n">
        <x:f>IF($B341&lt;='Scorecard'!$B$3-37,1,0)</x:f>
        <x:v>1</x:v>
      </x:c>
      <x:c r="G341" s="50" t="n">
        <x:f>IF(COUNTIFS(Events!$B$4:$B$1456,$A341,Events!$C$4:$C$1456,"day30_checkin_completed",Events!$D$4:$D$1456,"&gt;="&amp;($B341+28),Events!$D$4:$D$1456,"&lt;="&amp;($B341+37))&gt;0,1,0)</x:f>
        <x:v>0</x:v>
      </x:c>
      <x:c r="H341" s="50" t="n">
        <x:f>IF($B341&lt;='Scorecard'!$B$3-74,1,0)</x:f>
        <x:v>1</x:v>
      </x:c>
      <x:c r="I341" s="50" t="n">
        <x:f>IF(COUNTIFS(Events!$B$4:$B$1456,$A341,Events!$C$4:$C$1456,"day60_activity_observed",Events!$D$4:$D$1456,"&gt;="&amp;($B341+60),Events!$D$4:$D$1456,"&lt;="&amp;($B341+74))&gt;0,1,0)</x:f>
        <x:v>0</x:v>
      </x:c>
    </x:row>
    <x:row r="342">
      <x:c r="A342" s="50" t="str">
        <x:f>Members!A342</x:f>
        <x:v>SYN0339</x:v>
      </x:c>
      <x:c r="B342" s="51" t="n">
        <x:f>Members!B342</x:f>
        <x:v>46044</x:v>
      </x:c>
      <x:c r="C342" s="50" t="str">
        <x:f>Members!C342</x:f>
        <x:v>Direct</x:v>
      </x:c>
      <x:c r="D342" s="50" t="n">
        <x:f>IF($B342&lt;='Scorecard'!$B$3-7,1,0)</x:f>
        <x:v>1</x:v>
      </x:c>
      <x:c r="E342" s="50" t="n">
        <x:f>IF(COUNTIFS(Events!$B$4:$B$1456,$A342,Events!$C$4:$C$1456,"coach_contact_completed",Events!$D$4:$D$1456,"&gt;="&amp;($B342+0),Events!$D$4:$D$1456,"&lt;="&amp;($B342+7))&gt;0,1,0)</x:f>
        <x:v>0</x:v>
      </x:c>
      <x:c r="F342" s="50" t="n">
        <x:f>IF($B342&lt;='Scorecard'!$B$3-37,1,0)</x:f>
        <x:v>1</x:v>
      </x:c>
      <x:c r="G342" s="50" t="n">
        <x:f>IF(COUNTIFS(Events!$B$4:$B$1456,$A342,Events!$C$4:$C$1456,"day30_checkin_completed",Events!$D$4:$D$1456,"&gt;="&amp;($B342+28),Events!$D$4:$D$1456,"&lt;="&amp;($B342+37))&gt;0,1,0)</x:f>
        <x:v>0</x:v>
      </x:c>
      <x:c r="H342" s="50" t="n">
        <x:f>IF($B342&lt;='Scorecard'!$B$3-74,1,0)</x:f>
        <x:v>1</x:v>
      </x:c>
      <x:c r="I342" s="50" t="n">
        <x:f>IF(COUNTIFS(Events!$B$4:$B$1456,$A342,Events!$C$4:$C$1456,"day60_activity_observed",Events!$D$4:$D$1456,"&gt;="&amp;($B342+60),Events!$D$4:$D$1456,"&lt;="&amp;($B342+74))&gt;0,1,0)</x:f>
        <x:v>1</x:v>
      </x:c>
    </x:row>
    <x:row r="343">
      <x:c r="A343" s="50" t="str">
        <x:f>Members!A343</x:f>
        <x:v>SYN0340</x:v>
      </x:c>
      <x:c r="B343" s="51" t="n">
        <x:f>Members!B343</x:f>
        <x:v>46250</x:v>
      </x:c>
      <x:c r="C343" s="50" t="str">
        <x:f>Members!C343</x:f>
        <x:v>Direct</x:v>
      </x:c>
      <x:c r="D343" s="50" t="n">
        <x:f>IF($B343&lt;='Scorecard'!$B$3-7,1,0)</x:f>
        <x:v>1</x:v>
      </x:c>
      <x:c r="E343" s="50" t="n">
        <x:f>IF(COUNTIFS(Events!$B$4:$B$1456,$A343,Events!$C$4:$C$1456,"coach_contact_completed",Events!$D$4:$D$1456,"&gt;="&amp;($B343+0),Events!$D$4:$D$1456,"&lt;="&amp;($B343+7))&gt;0,1,0)</x:f>
        <x:v>1</x:v>
      </x:c>
      <x:c r="F343" s="50" t="n">
        <x:f>IF($B343&lt;='Scorecard'!$B$3-37,1,0)</x:f>
        <x:v>1</x:v>
      </x:c>
      <x:c r="G343" s="50" t="n">
        <x:f>IF(COUNTIFS(Events!$B$4:$B$1456,$A343,Events!$C$4:$C$1456,"day30_checkin_completed",Events!$D$4:$D$1456,"&gt;="&amp;($B343+28),Events!$D$4:$D$1456,"&lt;="&amp;($B343+37))&gt;0,1,0)</x:f>
        <x:v>0</x:v>
      </x:c>
      <x:c r="H343" s="50" t="n">
        <x:f>IF($B343&lt;='Scorecard'!$B$3-74,1,0)</x:f>
        <x:v>0</x:v>
      </x:c>
      <x:c r="I343" s="50" t="n">
        <x:f>IF(COUNTIFS(Events!$B$4:$B$1456,$A343,Events!$C$4:$C$1456,"day60_activity_observed",Events!$D$4:$D$1456,"&gt;="&amp;($B343+60),Events!$D$4:$D$1456,"&lt;="&amp;($B343+74))&gt;0,1,0)</x:f>
        <x:v>0</x:v>
      </x:c>
    </x:row>
    <x:row r="344">
      <x:c r="A344" s="50" t="str">
        <x:f>Members!A344</x:f>
        <x:v>SYN0341</x:v>
      </x:c>
      <x:c r="B344" s="51" t="n">
        <x:f>Members!B344</x:f>
        <x:v>46079</x:v>
      </x:c>
      <x:c r="C344" s="50" t="str">
        <x:f>Members!C344</x:f>
        <x:v>Employer</x:v>
      </x:c>
      <x:c r="D344" s="50" t="n">
        <x:f>IF($B344&lt;='Scorecard'!$B$3-7,1,0)</x:f>
        <x:v>1</x:v>
      </x:c>
      <x:c r="E344" s="50" t="n">
        <x:f>IF(COUNTIFS(Events!$B$4:$B$1456,$A344,Events!$C$4:$C$1456,"coach_contact_completed",Events!$D$4:$D$1456,"&gt;="&amp;($B344+0),Events!$D$4:$D$1456,"&lt;="&amp;($B344+7))&gt;0,1,0)</x:f>
        <x:v>1</x:v>
      </x:c>
      <x:c r="F344" s="50" t="n">
        <x:f>IF($B344&lt;='Scorecard'!$B$3-37,1,0)</x:f>
        <x:v>1</x:v>
      </x:c>
      <x:c r="G344" s="50" t="n">
        <x:f>IF(COUNTIFS(Events!$B$4:$B$1456,$A344,Events!$C$4:$C$1456,"day30_checkin_completed",Events!$D$4:$D$1456,"&gt;="&amp;($B344+28),Events!$D$4:$D$1456,"&lt;="&amp;($B344+37))&gt;0,1,0)</x:f>
        <x:v>1</x:v>
      </x:c>
      <x:c r="H344" s="50" t="n">
        <x:f>IF($B344&lt;='Scorecard'!$B$3-74,1,0)</x:f>
        <x:v>1</x:v>
      </x:c>
      <x:c r="I344" s="50" t="n">
        <x:f>IF(COUNTIFS(Events!$B$4:$B$1456,$A344,Events!$C$4:$C$1456,"day60_activity_observed",Events!$D$4:$D$1456,"&gt;="&amp;($B344+60),Events!$D$4:$D$1456,"&lt;="&amp;($B344+74))&gt;0,1,0)</x:f>
        <x:v>1</x:v>
      </x:c>
    </x:row>
    <x:row r="345">
      <x:c r="A345" s="50" t="str">
        <x:f>Members!A345</x:f>
        <x:v>SYN0342</x:v>
      </x:c>
      <x:c r="B345" s="51" t="n">
        <x:f>Members!B345</x:f>
        <x:v>46255</x:v>
      </x:c>
      <x:c r="C345" s="50" t="str">
        <x:f>Members!C345</x:f>
        <x:v>Direct</x:v>
      </x:c>
      <x:c r="D345" s="50" t="n">
        <x:f>IF($B345&lt;='Scorecard'!$B$3-7,1,0)</x:f>
        <x:v>1</x:v>
      </x:c>
      <x:c r="E345" s="50" t="n">
        <x:f>IF(COUNTIFS(Events!$B$4:$B$1456,$A345,Events!$C$4:$C$1456,"coach_contact_completed",Events!$D$4:$D$1456,"&gt;="&amp;($B345+0),Events!$D$4:$D$1456,"&lt;="&amp;($B345+7))&gt;0,1,0)</x:f>
        <x:v>1</x:v>
      </x:c>
      <x:c r="F345" s="50" t="n">
        <x:f>IF($B345&lt;='Scorecard'!$B$3-37,1,0)</x:f>
        <x:v>1</x:v>
      </x:c>
      <x:c r="G345" s="50" t="n">
        <x:f>IF(COUNTIFS(Events!$B$4:$B$1456,$A345,Events!$C$4:$C$1456,"day30_checkin_completed",Events!$D$4:$D$1456,"&gt;="&amp;($B345+28),Events!$D$4:$D$1456,"&lt;="&amp;($B345+37))&gt;0,1,0)</x:f>
        <x:v>1</x:v>
      </x:c>
      <x:c r="H345" s="50" t="n">
        <x:f>IF($B345&lt;='Scorecard'!$B$3-74,1,0)</x:f>
        <x:v>0</x:v>
      </x:c>
      <x:c r="I345" s="50" t="n">
        <x:f>IF(COUNTIFS(Events!$B$4:$B$1456,$A345,Events!$C$4:$C$1456,"day60_activity_observed",Events!$D$4:$D$1456,"&gt;="&amp;($B345+60),Events!$D$4:$D$1456,"&lt;="&amp;($B345+74))&gt;0,1,0)</x:f>
        <x:v>0</x:v>
      </x:c>
    </x:row>
    <x:row r="346">
      <x:c r="A346" s="50" t="str">
        <x:f>Members!A346</x:f>
        <x:v>SYN0343</x:v>
      </x:c>
      <x:c r="B346" s="51" t="n">
        <x:f>Members!B346</x:f>
        <x:v>46165</x:v>
      </x:c>
      <x:c r="C346" s="50" t="str">
        <x:f>Members!C346</x:f>
        <x:v>Direct</x:v>
      </x:c>
      <x:c r="D346" s="50" t="n">
        <x:f>IF($B346&lt;='Scorecard'!$B$3-7,1,0)</x:f>
        <x:v>1</x:v>
      </x:c>
      <x:c r="E346" s="50" t="n">
        <x:f>IF(COUNTIFS(Events!$B$4:$B$1456,$A346,Events!$C$4:$C$1456,"coach_contact_completed",Events!$D$4:$D$1456,"&gt;="&amp;($B346+0),Events!$D$4:$D$1456,"&lt;="&amp;($B346+7))&gt;0,1,0)</x:f>
        <x:v>1</x:v>
      </x:c>
      <x:c r="F346" s="50" t="n">
        <x:f>IF($B346&lt;='Scorecard'!$B$3-37,1,0)</x:f>
        <x:v>1</x:v>
      </x:c>
      <x:c r="G346" s="50" t="n">
        <x:f>IF(COUNTIFS(Events!$B$4:$B$1456,$A346,Events!$C$4:$C$1456,"day30_checkin_completed",Events!$D$4:$D$1456,"&gt;="&amp;($B346+28),Events!$D$4:$D$1456,"&lt;="&amp;($B346+37))&gt;0,1,0)</x:f>
        <x:v>1</x:v>
      </x:c>
      <x:c r="H346" s="50" t="n">
        <x:f>IF($B346&lt;='Scorecard'!$B$3-74,1,0)</x:f>
        <x:v>1</x:v>
      </x:c>
      <x:c r="I346" s="50" t="n">
        <x:f>IF(COUNTIFS(Events!$B$4:$B$1456,$A346,Events!$C$4:$C$1456,"day60_activity_observed",Events!$D$4:$D$1456,"&gt;="&amp;($B346+60),Events!$D$4:$D$1456,"&lt;="&amp;($B346+74))&gt;0,1,0)</x:f>
        <x:v>1</x:v>
      </x:c>
    </x:row>
    <x:row r="347">
      <x:c r="A347" s="50" t="str">
        <x:f>Members!A347</x:f>
        <x:v>SYN0344</x:v>
      </x:c>
      <x:c r="B347" s="51" t="n">
        <x:f>Members!B347</x:f>
        <x:v>46202</x:v>
      </x:c>
      <x:c r="C347" s="50" t="str">
        <x:f>Members!C347</x:f>
        <x:v>Direct</x:v>
      </x:c>
      <x:c r="D347" s="50" t="n">
        <x:f>IF($B347&lt;='Scorecard'!$B$3-7,1,0)</x:f>
        <x:v>1</x:v>
      </x:c>
      <x:c r="E347" s="50" t="n">
        <x:f>IF(COUNTIFS(Events!$B$4:$B$1456,$A347,Events!$C$4:$C$1456,"coach_contact_completed",Events!$D$4:$D$1456,"&gt;="&amp;($B347+0),Events!$D$4:$D$1456,"&lt;="&amp;($B347+7))&gt;0,1,0)</x:f>
        <x:v>1</x:v>
      </x:c>
      <x:c r="F347" s="50" t="n">
        <x:f>IF($B347&lt;='Scorecard'!$B$3-37,1,0)</x:f>
        <x:v>1</x:v>
      </x:c>
      <x:c r="G347" s="50" t="n">
        <x:f>IF(COUNTIFS(Events!$B$4:$B$1456,$A347,Events!$C$4:$C$1456,"day30_checkin_completed",Events!$D$4:$D$1456,"&gt;="&amp;($B347+28),Events!$D$4:$D$1456,"&lt;="&amp;($B347+37))&gt;0,1,0)</x:f>
        <x:v>1</x:v>
      </x:c>
      <x:c r="H347" s="50" t="n">
        <x:f>IF($B347&lt;='Scorecard'!$B$3-74,1,0)</x:f>
        <x:v>1</x:v>
      </x:c>
      <x:c r="I347" s="50" t="n">
        <x:f>IF(COUNTIFS(Events!$B$4:$B$1456,$A347,Events!$C$4:$C$1456,"day60_activity_observed",Events!$D$4:$D$1456,"&gt;="&amp;($B347+60),Events!$D$4:$D$1456,"&lt;="&amp;($B347+74))&gt;0,1,0)</x:f>
        <x:v>0</x:v>
      </x:c>
    </x:row>
    <x:row r="348">
      <x:c r="A348" s="50" t="str">
        <x:f>Members!A348</x:f>
        <x:v>SYN0345</x:v>
      </x:c>
      <x:c r="B348" s="51" t="n">
        <x:f>Members!B348</x:f>
        <x:v>46097</x:v>
      </x:c>
      <x:c r="C348" s="50" t="str">
        <x:f>Members!C348</x:f>
        <x:v>Employer</x:v>
      </x:c>
      <x:c r="D348" s="50" t="n">
        <x:f>IF($B348&lt;='Scorecard'!$B$3-7,1,0)</x:f>
        <x:v>1</x:v>
      </x:c>
      <x:c r="E348" s="50" t="n">
        <x:f>IF(COUNTIFS(Events!$B$4:$B$1456,$A348,Events!$C$4:$C$1456,"coach_contact_completed",Events!$D$4:$D$1456,"&gt;="&amp;($B348+0),Events!$D$4:$D$1456,"&lt;="&amp;($B348+7))&gt;0,1,0)</x:f>
        <x:v>0</x:v>
      </x:c>
      <x:c r="F348" s="50" t="n">
        <x:f>IF($B348&lt;='Scorecard'!$B$3-37,1,0)</x:f>
        <x:v>1</x:v>
      </x:c>
      <x:c r="G348" s="50" t="n">
        <x:f>IF(COUNTIFS(Events!$B$4:$B$1456,$A348,Events!$C$4:$C$1456,"day30_checkin_completed",Events!$D$4:$D$1456,"&gt;="&amp;($B348+28),Events!$D$4:$D$1456,"&lt;="&amp;($B348+37))&gt;0,1,0)</x:f>
        <x:v>1</x:v>
      </x:c>
      <x:c r="H348" s="50" t="n">
        <x:f>IF($B348&lt;='Scorecard'!$B$3-74,1,0)</x:f>
        <x:v>1</x:v>
      </x:c>
      <x:c r="I348" s="50" t="n">
        <x:f>IF(COUNTIFS(Events!$B$4:$B$1456,$A348,Events!$C$4:$C$1456,"day60_activity_observed",Events!$D$4:$D$1456,"&gt;="&amp;($B348+60),Events!$D$4:$D$1456,"&lt;="&amp;($B348+74))&gt;0,1,0)</x:f>
        <x:v>0</x:v>
      </x:c>
    </x:row>
    <x:row r="349">
      <x:c r="A349" s="50" t="str">
        <x:f>Members!A349</x:f>
        <x:v>SYN0346</x:v>
      </x:c>
      <x:c r="B349" s="51" t="n">
        <x:f>Members!B349</x:f>
        <x:v>46081</x:v>
      </x:c>
      <x:c r="C349" s="50" t="str">
        <x:f>Members!C349</x:f>
        <x:v>Employer</x:v>
      </x:c>
      <x:c r="D349" s="50" t="n">
        <x:f>IF($B349&lt;='Scorecard'!$B$3-7,1,0)</x:f>
        <x:v>1</x:v>
      </x:c>
      <x:c r="E349" s="50" t="n">
        <x:f>IF(COUNTIFS(Events!$B$4:$B$1456,$A349,Events!$C$4:$C$1456,"coach_contact_completed",Events!$D$4:$D$1456,"&gt;="&amp;($B349+0),Events!$D$4:$D$1456,"&lt;="&amp;($B349+7))&gt;0,1,0)</x:f>
        <x:v>0</x:v>
      </x:c>
      <x:c r="F349" s="50" t="n">
        <x:f>IF($B349&lt;='Scorecard'!$B$3-37,1,0)</x:f>
        <x:v>1</x:v>
      </x:c>
      <x:c r="G349" s="50" t="n">
        <x:f>IF(COUNTIFS(Events!$B$4:$B$1456,$A349,Events!$C$4:$C$1456,"day30_checkin_completed",Events!$D$4:$D$1456,"&gt;="&amp;($B349+28),Events!$D$4:$D$1456,"&lt;="&amp;($B349+37))&gt;0,1,0)</x:f>
        <x:v>1</x:v>
      </x:c>
      <x:c r="H349" s="50" t="n">
        <x:f>IF($B349&lt;='Scorecard'!$B$3-74,1,0)</x:f>
        <x:v>1</x:v>
      </x:c>
      <x:c r="I349" s="50" t="n">
        <x:f>IF(COUNTIFS(Events!$B$4:$B$1456,$A349,Events!$C$4:$C$1456,"day60_activity_observed",Events!$D$4:$D$1456,"&gt;="&amp;($B349+60),Events!$D$4:$D$1456,"&lt;="&amp;($B349+74))&gt;0,1,0)</x:f>
        <x:v>1</x:v>
      </x:c>
    </x:row>
    <x:row r="350">
      <x:c r="A350" s="50" t="str">
        <x:f>Members!A350</x:f>
        <x:v>SYN0347</x:v>
      </x:c>
      <x:c r="B350" s="51" t="n">
        <x:f>Members!B350</x:f>
        <x:v>46265</x:v>
      </x:c>
      <x:c r="C350" s="50" t="str">
        <x:f>Members!C350</x:f>
        <x:v>Direct</x:v>
      </x:c>
      <x:c r="D350" s="50" t="n">
        <x:f>IF($B350&lt;='Scorecard'!$B$3-7,1,0)</x:f>
        <x:v>1</x:v>
      </x:c>
      <x:c r="E350" s="50" t="n">
        <x:f>IF(COUNTIFS(Events!$B$4:$B$1456,$A350,Events!$C$4:$C$1456,"coach_contact_completed",Events!$D$4:$D$1456,"&gt;="&amp;($B350+0),Events!$D$4:$D$1456,"&lt;="&amp;($B350+7))&gt;0,1,0)</x:f>
        <x:v>1</x:v>
      </x:c>
      <x:c r="F350" s="50" t="n">
        <x:f>IF($B350&lt;='Scorecard'!$B$3-37,1,0)</x:f>
        <x:v>0</x:v>
      </x:c>
      <x:c r="G350" s="50" t="n">
        <x:f>IF(COUNTIFS(Events!$B$4:$B$1456,$A350,Events!$C$4:$C$1456,"day30_checkin_completed",Events!$D$4:$D$1456,"&gt;="&amp;($B350+28),Events!$D$4:$D$1456,"&lt;="&amp;($B350+37))&gt;0,1,0)</x:f>
        <x:v>0</x:v>
      </x:c>
      <x:c r="H350" s="50" t="n">
        <x:f>IF($B350&lt;='Scorecard'!$B$3-74,1,0)</x:f>
        <x:v>0</x:v>
      </x:c>
      <x:c r="I350" s="50" t="n">
        <x:f>IF(COUNTIFS(Events!$B$4:$B$1456,$A350,Events!$C$4:$C$1456,"day60_activity_observed",Events!$D$4:$D$1456,"&gt;="&amp;($B350+60),Events!$D$4:$D$1456,"&lt;="&amp;($B350+74))&gt;0,1,0)</x:f>
        <x:v>0</x:v>
      </x:c>
    </x:row>
    <x:row r="351">
      <x:c r="A351" s="50" t="str">
        <x:f>Members!A351</x:f>
        <x:v>SYN0348</x:v>
      </x:c>
      <x:c r="B351" s="51" t="n">
        <x:f>Members!B351</x:f>
        <x:v>46109</x:v>
      </x:c>
      <x:c r="C351" s="50" t="str">
        <x:f>Members!C351</x:f>
        <x:v>Direct</x:v>
      </x:c>
      <x:c r="D351" s="50" t="n">
        <x:f>IF($B351&lt;='Scorecard'!$B$3-7,1,0)</x:f>
        <x:v>1</x:v>
      </x:c>
      <x:c r="E351" s="50" t="n">
        <x:f>IF(COUNTIFS(Events!$B$4:$B$1456,$A351,Events!$C$4:$C$1456,"coach_contact_completed",Events!$D$4:$D$1456,"&gt;="&amp;($B351+0),Events!$D$4:$D$1456,"&lt;="&amp;($B351+7))&gt;0,1,0)</x:f>
        <x:v>1</x:v>
      </x:c>
      <x:c r="F351" s="50" t="n">
        <x:f>IF($B351&lt;='Scorecard'!$B$3-37,1,0)</x:f>
        <x:v>1</x:v>
      </x:c>
      <x:c r="G351" s="50" t="n">
        <x:f>IF(COUNTIFS(Events!$B$4:$B$1456,$A351,Events!$C$4:$C$1456,"day30_checkin_completed",Events!$D$4:$D$1456,"&gt;="&amp;($B351+28),Events!$D$4:$D$1456,"&lt;="&amp;($B351+37))&gt;0,1,0)</x:f>
        <x:v>1</x:v>
      </x:c>
      <x:c r="H351" s="50" t="n">
        <x:f>IF($B351&lt;='Scorecard'!$B$3-74,1,0)</x:f>
        <x:v>1</x:v>
      </x:c>
      <x:c r="I351" s="50" t="n">
        <x:f>IF(COUNTIFS(Events!$B$4:$B$1456,$A351,Events!$C$4:$C$1456,"day60_activity_observed",Events!$D$4:$D$1456,"&gt;="&amp;($B351+60),Events!$D$4:$D$1456,"&lt;="&amp;($B351+74))&gt;0,1,0)</x:f>
        <x:v>1</x:v>
      </x:c>
    </x:row>
    <x:row r="352">
      <x:c r="A352" s="50" t="str">
        <x:f>Members!A352</x:f>
        <x:v>SYN0349</x:v>
      </x:c>
      <x:c r="B352" s="51" t="n">
        <x:f>Members!B352</x:f>
        <x:v>46150</x:v>
      </x:c>
      <x:c r="C352" s="50" t="str">
        <x:f>Members!C352</x:f>
        <x:v>Direct</x:v>
      </x:c>
      <x:c r="D352" s="50" t="n">
        <x:f>IF($B352&lt;='Scorecard'!$B$3-7,1,0)</x:f>
        <x:v>1</x:v>
      </x:c>
      <x:c r="E352" s="50" t="n">
        <x:f>IF(COUNTIFS(Events!$B$4:$B$1456,$A352,Events!$C$4:$C$1456,"coach_contact_completed",Events!$D$4:$D$1456,"&gt;="&amp;($B352+0),Events!$D$4:$D$1456,"&lt;="&amp;($B352+7))&gt;0,1,0)</x:f>
        <x:v>1</x:v>
      </x:c>
      <x:c r="F352" s="50" t="n">
        <x:f>IF($B352&lt;='Scorecard'!$B$3-37,1,0)</x:f>
        <x:v>1</x:v>
      </x:c>
      <x:c r="G352" s="50" t="n">
        <x:f>IF(COUNTIFS(Events!$B$4:$B$1456,$A352,Events!$C$4:$C$1456,"day30_checkin_completed",Events!$D$4:$D$1456,"&gt;="&amp;($B352+28),Events!$D$4:$D$1456,"&lt;="&amp;($B352+37))&gt;0,1,0)</x:f>
        <x:v>1</x:v>
      </x:c>
      <x:c r="H352" s="50" t="n">
        <x:f>IF($B352&lt;='Scorecard'!$B$3-74,1,0)</x:f>
        <x:v>1</x:v>
      </x:c>
      <x:c r="I352" s="50" t="n">
        <x:f>IF(COUNTIFS(Events!$B$4:$B$1456,$A352,Events!$C$4:$C$1456,"day60_activity_observed",Events!$D$4:$D$1456,"&gt;="&amp;($B352+60),Events!$D$4:$D$1456,"&lt;="&amp;($B352+74))&gt;0,1,0)</x:f>
        <x:v>0</x:v>
      </x:c>
    </x:row>
    <x:row r="353">
      <x:c r="A353" s="50" t="str">
        <x:f>Members!A353</x:f>
        <x:v>SYN0350</x:v>
      </x:c>
      <x:c r="B353" s="51" t="n">
        <x:f>Members!B353</x:f>
        <x:v>46071</x:v>
      </x:c>
      <x:c r="C353" s="50" t="str">
        <x:f>Members!C353</x:f>
        <x:v>Employer</x:v>
      </x:c>
      <x:c r="D353" s="50" t="n">
        <x:f>IF($B353&lt;='Scorecard'!$B$3-7,1,0)</x:f>
        <x:v>1</x:v>
      </x:c>
      <x:c r="E353" s="50" t="n">
        <x:f>IF(COUNTIFS(Events!$B$4:$B$1456,$A353,Events!$C$4:$C$1456,"coach_contact_completed",Events!$D$4:$D$1456,"&gt;="&amp;($B353+0),Events!$D$4:$D$1456,"&lt;="&amp;($B353+7))&gt;0,1,0)</x:f>
        <x:v>1</x:v>
      </x:c>
      <x:c r="F353" s="50" t="n">
        <x:f>IF($B353&lt;='Scorecard'!$B$3-37,1,0)</x:f>
        <x:v>1</x:v>
      </x:c>
      <x:c r="G353" s="50" t="n">
        <x:f>IF(COUNTIFS(Events!$B$4:$B$1456,$A353,Events!$C$4:$C$1456,"day30_checkin_completed",Events!$D$4:$D$1456,"&gt;="&amp;($B353+28),Events!$D$4:$D$1456,"&lt;="&amp;($B353+37))&gt;0,1,0)</x:f>
        <x:v>0</x:v>
      </x:c>
      <x:c r="H353" s="50" t="n">
        <x:f>IF($B353&lt;='Scorecard'!$B$3-74,1,0)</x:f>
        <x:v>1</x:v>
      </x:c>
      <x:c r="I353" s="50" t="n">
        <x:f>IF(COUNTIFS(Events!$B$4:$B$1456,$A353,Events!$C$4:$C$1456,"day60_activity_observed",Events!$D$4:$D$1456,"&gt;="&amp;($B353+60),Events!$D$4:$D$1456,"&lt;="&amp;($B353+74))&gt;0,1,0)</x:f>
        <x:v>1</x:v>
      </x:c>
    </x:row>
    <x:row r="354">
      <x:c r="A354" s="50" t="str">
        <x:f>Members!A354</x:f>
        <x:v>SYN0351</x:v>
      </x:c>
      <x:c r="B354" s="51" t="n">
        <x:f>Members!B354</x:f>
        <x:v>46067</x:v>
      </x:c>
      <x:c r="C354" s="50" t="str">
        <x:f>Members!C354</x:f>
        <x:v>Direct</x:v>
      </x:c>
      <x:c r="D354" s="50" t="n">
        <x:f>IF($B354&lt;='Scorecard'!$B$3-7,1,0)</x:f>
        <x:v>1</x:v>
      </x:c>
      <x:c r="E354" s="50" t="n">
        <x:f>IF(COUNTIFS(Events!$B$4:$B$1456,$A354,Events!$C$4:$C$1456,"coach_contact_completed",Events!$D$4:$D$1456,"&gt;="&amp;($B354+0),Events!$D$4:$D$1456,"&lt;="&amp;($B354+7))&gt;0,1,0)</x:f>
        <x:v>0</x:v>
      </x:c>
      <x:c r="F354" s="50" t="n">
        <x:f>IF($B354&lt;='Scorecard'!$B$3-37,1,0)</x:f>
        <x:v>1</x:v>
      </x:c>
      <x:c r="G354" s="50" t="n">
        <x:f>IF(COUNTIFS(Events!$B$4:$B$1456,$A354,Events!$C$4:$C$1456,"day30_checkin_completed",Events!$D$4:$D$1456,"&gt;="&amp;($B354+28),Events!$D$4:$D$1456,"&lt;="&amp;($B354+37))&gt;0,1,0)</x:f>
        <x:v>0</x:v>
      </x:c>
      <x:c r="H354" s="50" t="n">
        <x:f>IF($B354&lt;='Scorecard'!$B$3-74,1,0)</x:f>
        <x:v>1</x:v>
      </x:c>
      <x:c r="I354" s="50" t="n">
        <x:f>IF(COUNTIFS(Events!$B$4:$B$1456,$A354,Events!$C$4:$C$1456,"day60_activity_observed",Events!$D$4:$D$1456,"&gt;="&amp;($B354+60),Events!$D$4:$D$1456,"&lt;="&amp;($B354+74))&gt;0,1,0)</x:f>
        <x:v>1</x:v>
      </x:c>
    </x:row>
    <x:row r="355">
      <x:c r="A355" s="50" t="str">
        <x:f>Members!A355</x:f>
        <x:v>SYN0352</x:v>
      </x:c>
      <x:c r="B355" s="51" t="n">
        <x:f>Members!B355</x:f>
        <x:v>46082</x:v>
      </x:c>
      <x:c r="C355" s="50" t="str">
        <x:f>Members!C355</x:f>
        <x:v>Direct</x:v>
      </x:c>
      <x:c r="D355" s="50" t="n">
        <x:f>IF($B355&lt;='Scorecard'!$B$3-7,1,0)</x:f>
        <x:v>1</x:v>
      </x:c>
      <x:c r="E355" s="50" t="n">
        <x:f>IF(COUNTIFS(Events!$B$4:$B$1456,$A355,Events!$C$4:$C$1456,"coach_contact_completed",Events!$D$4:$D$1456,"&gt;="&amp;($B355+0),Events!$D$4:$D$1456,"&lt;="&amp;($B355+7))&gt;0,1,0)</x:f>
        <x:v>1</x:v>
      </x:c>
      <x:c r="F355" s="50" t="n">
        <x:f>IF($B355&lt;='Scorecard'!$B$3-37,1,0)</x:f>
        <x:v>1</x:v>
      </x:c>
      <x:c r="G355" s="50" t="n">
        <x:f>IF(COUNTIFS(Events!$B$4:$B$1456,$A355,Events!$C$4:$C$1456,"day30_checkin_completed",Events!$D$4:$D$1456,"&gt;="&amp;($B355+28),Events!$D$4:$D$1456,"&lt;="&amp;($B355+37))&gt;0,1,0)</x:f>
        <x:v>1</x:v>
      </x:c>
      <x:c r="H355" s="50" t="n">
        <x:f>IF($B355&lt;='Scorecard'!$B$3-74,1,0)</x:f>
        <x:v>1</x:v>
      </x:c>
      <x:c r="I355" s="50" t="n">
        <x:f>IF(COUNTIFS(Events!$B$4:$B$1456,$A355,Events!$C$4:$C$1456,"day60_activity_observed",Events!$D$4:$D$1456,"&gt;="&amp;($B355+60),Events!$D$4:$D$1456,"&lt;="&amp;($B355+74))&gt;0,1,0)</x:f>
        <x:v>1</x:v>
      </x:c>
    </x:row>
    <x:row r="356">
      <x:c r="A356" s="50" t="str">
        <x:f>Members!A356</x:f>
        <x:v>SYN0353</x:v>
      </x:c>
      <x:c r="B356" s="51" t="n">
        <x:f>Members!B356</x:f>
        <x:v>46087</x:v>
      </x:c>
      <x:c r="C356" s="50" t="str">
        <x:f>Members!C356</x:f>
        <x:v>Employer</x:v>
      </x:c>
      <x:c r="D356" s="50" t="n">
        <x:f>IF($B356&lt;='Scorecard'!$B$3-7,1,0)</x:f>
        <x:v>1</x:v>
      </x:c>
      <x:c r="E356" s="50" t="n">
        <x:f>IF(COUNTIFS(Events!$B$4:$B$1456,$A356,Events!$C$4:$C$1456,"coach_contact_completed",Events!$D$4:$D$1456,"&gt;="&amp;($B356+0),Events!$D$4:$D$1456,"&lt;="&amp;($B356+7))&gt;0,1,0)</x:f>
        <x:v>0</x:v>
      </x:c>
      <x:c r="F356" s="50" t="n">
        <x:f>IF($B356&lt;='Scorecard'!$B$3-37,1,0)</x:f>
        <x:v>1</x:v>
      </x:c>
      <x:c r="G356" s="50" t="n">
        <x:f>IF(COUNTIFS(Events!$B$4:$B$1456,$A356,Events!$C$4:$C$1456,"day30_checkin_completed",Events!$D$4:$D$1456,"&gt;="&amp;($B356+28),Events!$D$4:$D$1456,"&lt;="&amp;($B356+37))&gt;0,1,0)</x:f>
        <x:v>1</x:v>
      </x:c>
      <x:c r="H356" s="50" t="n">
        <x:f>IF($B356&lt;='Scorecard'!$B$3-74,1,0)</x:f>
        <x:v>1</x:v>
      </x:c>
      <x:c r="I356" s="50" t="n">
        <x:f>IF(COUNTIFS(Events!$B$4:$B$1456,$A356,Events!$C$4:$C$1456,"day60_activity_observed",Events!$D$4:$D$1456,"&gt;="&amp;($B356+60),Events!$D$4:$D$1456,"&lt;="&amp;($B356+74))&gt;0,1,0)</x:f>
        <x:v>0</x:v>
      </x:c>
    </x:row>
    <x:row r="357">
      <x:c r="A357" s="50" t="str">
        <x:f>Members!A357</x:f>
        <x:v>SYN0354</x:v>
      </x:c>
      <x:c r="B357" s="51" t="n">
        <x:f>Members!B357</x:f>
        <x:v>46086</x:v>
      </x:c>
      <x:c r="C357" s="50" t="str">
        <x:f>Members!C357</x:f>
        <x:v>Employer</x:v>
      </x:c>
      <x:c r="D357" s="50" t="n">
        <x:f>IF($B357&lt;='Scorecard'!$B$3-7,1,0)</x:f>
        <x:v>1</x:v>
      </x:c>
      <x:c r="E357" s="50" t="n">
        <x:f>IF(COUNTIFS(Events!$B$4:$B$1456,$A357,Events!$C$4:$C$1456,"coach_contact_completed",Events!$D$4:$D$1456,"&gt;="&amp;($B357+0),Events!$D$4:$D$1456,"&lt;="&amp;($B357+7))&gt;0,1,0)</x:f>
        <x:v>1</x:v>
      </x:c>
      <x:c r="F357" s="50" t="n">
        <x:f>IF($B357&lt;='Scorecard'!$B$3-37,1,0)</x:f>
        <x:v>1</x:v>
      </x:c>
      <x:c r="G357" s="50" t="n">
        <x:f>IF(COUNTIFS(Events!$B$4:$B$1456,$A357,Events!$C$4:$C$1456,"day30_checkin_completed",Events!$D$4:$D$1456,"&gt;="&amp;($B357+28),Events!$D$4:$D$1456,"&lt;="&amp;($B357+37))&gt;0,1,0)</x:f>
        <x:v>1</x:v>
      </x:c>
      <x:c r="H357" s="50" t="n">
        <x:f>IF($B357&lt;='Scorecard'!$B$3-74,1,0)</x:f>
        <x:v>1</x:v>
      </x:c>
      <x:c r="I357" s="50" t="n">
        <x:f>IF(COUNTIFS(Events!$B$4:$B$1456,$A357,Events!$C$4:$C$1456,"day60_activity_observed",Events!$D$4:$D$1456,"&gt;="&amp;($B357+60),Events!$D$4:$D$1456,"&lt;="&amp;($B357+74))&gt;0,1,0)</x:f>
        <x:v>1</x:v>
      </x:c>
    </x:row>
    <x:row r="358">
      <x:c r="A358" s="50" t="str">
        <x:f>Members!A358</x:f>
        <x:v>SYN0355</x:v>
      </x:c>
      <x:c r="B358" s="51" t="n">
        <x:f>Members!B358</x:f>
        <x:v>46159</x:v>
      </x:c>
      <x:c r="C358" s="50" t="str">
        <x:f>Members!C358</x:f>
        <x:v>Direct</x:v>
      </x:c>
      <x:c r="D358" s="50" t="n">
        <x:f>IF($B358&lt;='Scorecard'!$B$3-7,1,0)</x:f>
        <x:v>1</x:v>
      </x:c>
      <x:c r="E358" s="50" t="n">
        <x:f>IF(COUNTIFS(Events!$B$4:$B$1456,$A358,Events!$C$4:$C$1456,"coach_contact_completed",Events!$D$4:$D$1456,"&gt;="&amp;($B358+0),Events!$D$4:$D$1456,"&lt;="&amp;($B358+7))&gt;0,1,0)</x:f>
        <x:v>1</x:v>
      </x:c>
      <x:c r="F358" s="50" t="n">
        <x:f>IF($B358&lt;='Scorecard'!$B$3-37,1,0)</x:f>
        <x:v>1</x:v>
      </x:c>
      <x:c r="G358" s="50" t="n">
        <x:f>IF(COUNTIFS(Events!$B$4:$B$1456,$A358,Events!$C$4:$C$1456,"day30_checkin_completed",Events!$D$4:$D$1456,"&gt;="&amp;($B358+28),Events!$D$4:$D$1456,"&lt;="&amp;($B358+37))&gt;0,1,0)</x:f>
        <x:v>1</x:v>
      </x:c>
      <x:c r="H358" s="50" t="n">
        <x:f>IF($B358&lt;='Scorecard'!$B$3-74,1,0)</x:f>
        <x:v>1</x:v>
      </x:c>
      <x:c r="I358" s="50" t="n">
        <x:f>IF(COUNTIFS(Events!$B$4:$B$1456,$A358,Events!$C$4:$C$1456,"day60_activity_observed",Events!$D$4:$D$1456,"&gt;="&amp;($B358+60),Events!$D$4:$D$1456,"&lt;="&amp;($B358+74))&gt;0,1,0)</x:f>
        <x:v>0</x:v>
      </x:c>
    </x:row>
    <x:row r="359">
      <x:c r="A359" s="50" t="str">
        <x:f>Members!A359</x:f>
        <x:v>SYN0356</x:v>
      </x:c>
      <x:c r="B359" s="51" t="n">
        <x:f>Members!B359</x:f>
        <x:v>46236</x:v>
      </x:c>
      <x:c r="C359" s="50" t="str">
        <x:f>Members!C359</x:f>
        <x:v>Direct</x:v>
      </x:c>
      <x:c r="D359" s="50" t="n">
        <x:f>IF($B359&lt;='Scorecard'!$B$3-7,1,0)</x:f>
        <x:v>1</x:v>
      </x:c>
      <x:c r="E359" s="50" t="n">
        <x:f>IF(COUNTIFS(Events!$B$4:$B$1456,$A359,Events!$C$4:$C$1456,"coach_contact_completed",Events!$D$4:$D$1456,"&gt;="&amp;($B359+0),Events!$D$4:$D$1456,"&lt;="&amp;($B359+7))&gt;0,1,0)</x:f>
        <x:v>1</x:v>
      </x:c>
      <x:c r="F359" s="50" t="n">
        <x:f>IF($B359&lt;='Scorecard'!$B$3-37,1,0)</x:f>
        <x:v>1</x:v>
      </x:c>
      <x:c r="G359" s="50" t="n">
        <x:f>IF(COUNTIFS(Events!$B$4:$B$1456,$A359,Events!$C$4:$C$1456,"day30_checkin_completed",Events!$D$4:$D$1456,"&gt;="&amp;($B359+28),Events!$D$4:$D$1456,"&lt;="&amp;($B359+37))&gt;0,1,0)</x:f>
        <x:v>0</x:v>
      </x:c>
      <x:c r="H359" s="50" t="n">
        <x:f>IF($B359&lt;='Scorecard'!$B$3-74,1,0)</x:f>
        <x:v>0</x:v>
      </x:c>
      <x:c r="I359" s="50" t="n">
        <x:f>IF(COUNTIFS(Events!$B$4:$B$1456,$A359,Events!$C$4:$C$1456,"day60_activity_observed",Events!$D$4:$D$1456,"&gt;="&amp;($B359+60),Events!$D$4:$D$1456,"&lt;="&amp;($B359+74))&gt;0,1,0)</x:f>
        <x:v>0</x:v>
      </x:c>
    </x:row>
    <x:row r="360">
      <x:c r="A360" s="50" t="str">
        <x:f>Members!A360</x:f>
        <x:v>SYN0357</x:v>
      </x:c>
      <x:c r="B360" s="51" t="n">
        <x:f>Members!B360</x:f>
        <x:v>46226</x:v>
      </x:c>
      <x:c r="C360" s="50" t="str">
        <x:f>Members!C360</x:f>
        <x:v>Employer</x:v>
      </x:c>
      <x:c r="D360" s="50" t="n">
        <x:f>IF($B360&lt;='Scorecard'!$B$3-7,1,0)</x:f>
        <x:v>1</x:v>
      </x:c>
      <x:c r="E360" s="50" t="n">
        <x:f>IF(COUNTIFS(Events!$B$4:$B$1456,$A360,Events!$C$4:$C$1456,"coach_contact_completed",Events!$D$4:$D$1456,"&gt;="&amp;($B360+0),Events!$D$4:$D$1456,"&lt;="&amp;($B360+7))&gt;0,1,0)</x:f>
        <x:v>1</x:v>
      </x:c>
      <x:c r="F360" s="50" t="n">
        <x:f>IF($B360&lt;='Scorecard'!$B$3-37,1,0)</x:f>
        <x:v>1</x:v>
      </x:c>
      <x:c r="G360" s="50" t="n">
        <x:f>IF(COUNTIFS(Events!$B$4:$B$1456,$A360,Events!$C$4:$C$1456,"day30_checkin_completed",Events!$D$4:$D$1456,"&gt;="&amp;($B360+28),Events!$D$4:$D$1456,"&lt;="&amp;($B360+37))&gt;0,1,0)</x:f>
        <x:v>1</x:v>
      </x:c>
      <x:c r="H360" s="50" t="n">
        <x:f>IF($B360&lt;='Scorecard'!$B$3-74,1,0)</x:f>
        <x:v>0</x:v>
      </x:c>
      <x:c r="I360" s="50" t="n">
        <x:f>IF(COUNTIFS(Events!$B$4:$B$1456,$A360,Events!$C$4:$C$1456,"day60_activity_observed",Events!$D$4:$D$1456,"&gt;="&amp;($B360+60),Events!$D$4:$D$1456,"&lt;="&amp;($B360+74))&gt;0,1,0)</x:f>
        <x:v>0</x:v>
      </x:c>
    </x:row>
    <x:row r="361">
      <x:c r="A361" s="50" t="str">
        <x:f>Members!A361</x:f>
        <x:v>SYN0358</x:v>
      </x:c>
      <x:c r="B361" s="51" t="n">
        <x:f>Members!B361</x:f>
        <x:v>46208</x:v>
      </x:c>
      <x:c r="C361" s="50" t="str">
        <x:f>Members!C361</x:f>
        <x:v>Direct</x:v>
      </x:c>
      <x:c r="D361" s="50" t="n">
        <x:f>IF($B361&lt;='Scorecard'!$B$3-7,1,0)</x:f>
        <x:v>1</x:v>
      </x:c>
      <x:c r="E361" s="50" t="n">
        <x:f>IF(COUNTIFS(Events!$B$4:$B$1456,$A361,Events!$C$4:$C$1456,"coach_contact_completed",Events!$D$4:$D$1456,"&gt;="&amp;($B361+0),Events!$D$4:$D$1456,"&lt;="&amp;($B361+7))&gt;0,1,0)</x:f>
        <x:v>1</x:v>
      </x:c>
      <x:c r="F361" s="50" t="n">
        <x:f>IF($B361&lt;='Scorecard'!$B$3-37,1,0)</x:f>
        <x:v>1</x:v>
      </x:c>
      <x:c r="G361" s="50" t="n">
        <x:f>IF(COUNTIFS(Events!$B$4:$B$1456,$A361,Events!$C$4:$C$1456,"day30_checkin_completed",Events!$D$4:$D$1456,"&gt;="&amp;($B361+28),Events!$D$4:$D$1456,"&lt;="&amp;($B361+37))&gt;0,1,0)</x:f>
        <x:v>0</x:v>
      </x:c>
      <x:c r="H361" s="50" t="n">
        <x:f>IF($B361&lt;='Scorecard'!$B$3-74,1,0)</x:f>
        <x:v>1</x:v>
      </x:c>
      <x:c r="I361" s="50" t="n">
        <x:f>IF(COUNTIFS(Events!$B$4:$B$1456,$A361,Events!$C$4:$C$1456,"day60_activity_observed",Events!$D$4:$D$1456,"&gt;="&amp;($B361+60),Events!$D$4:$D$1456,"&lt;="&amp;($B361+74))&gt;0,1,0)</x:f>
        <x:v>1</x:v>
      </x:c>
    </x:row>
    <x:row r="362">
      <x:c r="A362" s="50" t="str">
        <x:f>Members!A362</x:f>
        <x:v>SYN0359</x:v>
      </x:c>
      <x:c r="B362" s="51" t="n">
        <x:f>Members!B362</x:f>
        <x:v>46134</x:v>
      </x:c>
      <x:c r="C362" s="50" t="str">
        <x:f>Members!C362</x:f>
        <x:v>Employer</x:v>
      </x:c>
      <x:c r="D362" s="50" t="n">
        <x:f>IF($B362&lt;='Scorecard'!$B$3-7,1,0)</x:f>
        <x:v>1</x:v>
      </x:c>
      <x:c r="E362" s="50" t="n">
        <x:f>IF(COUNTIFS(Events!$B$4:$B$1456,$A362,Events!$C$4:$C$1456,"coach_contact_completed",Events!$D$4:$D$1456,"&gt;="&amp;($B362+0),Events!$D$4:$D$1456,"&lt;="&amp;($B362+7))&gt;0,1,0)</x:f>
        <x:v>0</x:v>
      </x:c>
      <x:c r="F362" s="50" t="n">
        <x:f>IF($B362&lt;='Scorecard'!$B$3-37,1,0)</x:f>
        <x:v>1</x:v>
      </x:c>
      <x:c r="G362" s="50" t="n">
        <x:f>IF(COUNTIFS(Events!$B$4:$B$1456,$A362,Events!$C$4:$C$1456,"day30_checkin_completed",Events!$D$4:$D$1456,"&gt;="&amp;($B362+28),Events!$D$4:$D$1456,"&lt;="&amp;($B362+37))&gt;0,1,0)</x:f>
        <x:v>1</x:v>
      </x:c>
      <x:c r="H362" s="50" t="n">
        <x:f>IF($B362&lt;='Scorecard'!$B$3-74,1,0)</x:f>
        <x:v>1</x:v>
      </x:c>
      <x:c r="I362" s="50" t="n">
        <x:f>IF(COUNTIFS(Events!$B$4:$B$1456,$A362,Events!$C$4:$C$1456,"day60_activity_observed",Events!$D$4:$D$1456,"&gt;="&amp;($B362+60),Events!$D$4:$D$1456,"&lt;="&amp;($B362+74))&gt;0,1,0)</x:f>
        <x:v>1</x:v>
      </x:c>
    </x:row>
    <x:row r="363">
      <x:c r="A363" s="50" t="str">
        <x:f>Members!A363</x:f>
        <x:v>SYN0360</x:v>
      </x:c>
      <x:c r="B363" s="51" t="n">
        <x:f>Members!B363</x:f>
        <x:v>46246</x:v>
      </x:c>
      <x:c r="C363" s="50" t="str">
        <x:f>Members!C363</x:f>
        <x:v>Employer</x:v>
      </x:c>
      <x:c r="D363" s="50" t="n">
        <x:f>IF($B363&lt;='Scorecard'!$B$3-7,1,0)</x:f>
        <x:v>1</x:v>
      </x:c>
      <x:c r="E363" s="50" t="n">
        <x:f>IF(COUNTIFS(Events!$B$4:$B$1456,$A363,Events!$C$4:$C$1456,"coach_contact_completed",Events!$D$4:$D$1456,"&gt;="&amp;($B363+0),Events!$D$4:$D$1456,"&lt;="&amp;($B363+7))&gt;0,1,0)</x:f>
        <x:v>1</x:v>
      </x:c>
      <x:c r="F363" s="50" t="n">
        <x:f>IF($B363&lt;='Scorecard'!$B$3-37,1,0)</x:f>
        <x:v>1</x:v>
      </x:c>
      <x:c r="G363" s="50" t="n">
        <x:f>IF(COUNTIFS(Events!$B$4:$B$1456,$A363,Events!$C$4:$C$1456,"day30_checkin_completed",Events!$D$4:$D$1456,"&gt;="&amp;($B363+28),Events!$D$4:$D$1456,"&lt;="&amp;($B363+37))&gt;0,1,0)</x:f>
        <x:v>0</x:v>
      </x:c>
      <x:c r="H363" s="50" t="n">
        <x:f>IF($B363&lt;='Scorecard'!$B$3-74,1,0)</x:f>
        <x:v>0</x:v>
      </x:c>
      <x:c r="I363" s="50" t="n">
        <x:f>IF(COUNTIFS(Events!$B$4:$B$1456,$A363,Events!$C$4:$C$1456,"day60_activity_observed",Events!$D$4:$D$1456,"&gt;="&amp;($B363+60),Events!$D$4:$D$1456,"&lt;="&amp;($B363+74))&gt;0,1,0)</x:f>
        <x:v>0</x:v>
      </x:c>
    </x:row>
    <x:row r="364">
      <x:c r="A364" s="50" t="str">
        <x:f>Members!A364</x:f>
        <x:v>SYN0361</x:v>
      </x:c>
      <x:c r="B364" s="51" t="n">
        <x:f>Members!B364</x:f>
        <x:v>46168</x:v>
      </x:c>
      <x:c r="C364" s="50" t="str">
        <x:f>Members!C364</x:f>
        <x:v>Employer</x:v>
      </x:c>
      <x:c r="D364" s="50" t="n">
        <x:f>IF($B364&lt;='Scorecard'!$B$3-7,1,0)</x:f>
        <x:v>1</x:v>
      </x:c>
      <x:c r="E364" s="50" t="n">
        <x:f>IF(COUNTIFS(Events!$B$4:$B$1456,$A364,Events!$C$4:$C$1456,"coach_contact_completed",Events!$D$4:$D$1456,"&gt;="&amp;($B364+0),Events!$D$4:$D$1456,"&lt;="&amp;($B364+7))&gt;0,1,0)</x:f>
        <x:v>0</x:v>
      </x:c>
      <x:c r="F364" s="50" t="n">
        <x:f>IF($B364&lt;='Scorecard'!$B$3-37,1,0)</x:f>
        <x:v>1</x:v>
      </x:c>
      <x:c r="G364" s="50" t="n">
        <x:f>IF(COUNTIFS(Events!$B$4:$B$1456,$A364,Events!$C$4:$C$1456,"day30_checkin_completed",Events!$D$4:$D$1456,"&gt;="&amp;($B364+28),Events!$D$4:$D$1456,"&lt;="&amp;($B364+37))&gt;0,1,0)</x:f>
        <x:v>0</x:v>
      </x:c>
      <x:c r="H364" s="50" t="n">
        <x:f>IF($B364&lt;='Scorecard'!$B$3-74,1,0)</x:f>
        <x:v>1</x:v>
      </x:c>
      <x:c r="I364" s="50" t="n">
        <x:f>IF(COUNTIFS(Events!$B$4:$B$1456,$A364,Events!$C$4:$C$1456,"day60_activity_observed",Events!$D$4:$D$1456,"&gt;="&amp;($B364+60),Events!$D$4:$D$1456,"&lt;="&amp;($B364+74))&gt;0,1,0)</x:f>
        <x:v>1</x:v>
      </x:c>
    </x:row>
    <x:row r="365">
      <x:c r="A365" s="50" t="str">
        <x:f>Members!A365</x:f>
        <x:v>SYN0362</x:v>
      </x:c>
      <x:c r="B365" s="51" t="n">
        <x:f>Members!B365</x:f>
        <x:v>46098</x:v>
      </x:c>
      <x:c r="C365" s="50" t="str">
        <x:f>Members!C365</x:f>
        <x:v>Direct</x:v>
      </x:c>
      <x:c r="D365" s="50" t="n">
        <x:f>IF($B365&lt;='Scorecard'!$B$3-7,1,0)</x:f>
        <x:v>1</x:v>
      </x:c>
      <x:c r="E365" s="50" t="n">
        <x:f>IF(COUNTIFS(Events!$B$4:$B$1456,$A365,Events!$C$4:$C$1456,"coach_contact_completed",Events!$D$4:$D$1456,"&gt;="&amp;($B365+0),Events!$D$4:$D$1456,"&lt;="&amp;($B365+7))&gt;0,1,0)</x:f>
        <x:v>1</x:v>
      </x:c>
      <x:c r="F365" s="50" t="n">
        <x:f>IF($B365&lt;='Scorecard'!$B$3-37,1,0)</x:f>
        <x:v>1</x:v>
      </x:c>
      <x:c r="G365" s="50" t="n">
        <x:f>IF(COUNTIFS(Events!$B$4:$B$1456,$A365,Events!$C$4:$C$1456,"day30_checkin_completed",Events!$D$4:$D$1456,"&gt;="&amp;($B365+28),Events!$D$4:$D$1456,"&lt;="&amp;($B365+37))&gt;0,1,0)</x:f>
        <x:v>1</x:v>
      </x:c>
      <x:c r="H365" s="50" t="n">
        <x:f>IF($B365&lt;='Scorecard'!$B$3-74,1,0)</x:f>
        <x:v>1</x:v>
      </x:c>
      <x:c r="I365" s="50" t="n">
        <x:f>IF(COUNTIFS(Events!$B$4:$B$1456,$A365,Events!$C$4:$C$1456,"day60_activity_observed",Events!$D$4:$D$1456,"&gt;="&amp;($B365+60),Events!$D$4:$D$1456,"&lt;="&amp;($B365+74))&gt;0,1,0)</x:f>
        <x:v>1</x:v>
      </x:c>
    </x:row>
    <x:row r="366">
      <x:c r="A366" s="50" t="str">
        <x:f>Members!A366</x:f>
        <x:v>SYN0363</x:v>
      </x:c>
      <x:c r="B366" s="51" t="n">
        <x:f>Members!B366</x:f>
        <x:v>46257</x:v>
      </x:c>
      <x:c r="C366" s="50" t="str">
        <x:f>Members!C366</x:f>
        <x:v>Direct</x:v>
      </x:c>
      <x:c r="D366" s="50" t="n">
        <x:f>IF($B366&lt;='Scorecard'!$B$3-7,1,0)</x:f>
        <x:v>1</x:v>
      </x:c>
      <x:c r="E366" s="50" t="n">
        <x:f>IF(COUNTIFS(Events!$B$4:$B$1456,$A366,Events!$C$4:$C$1456,"coach_contact_completed",Events!$D$4:$D$1456,"&gt;="&amp;($B366+0),Events!$D$4:$D$1456,"&lt;="&amp;($B366+7))&gt;0,1,0)</x:f>
        <x:v>0</x:v>
      </x:c>
      <x:c r="F366" s="50" t="n">
        <x:f>IF($B366&lt;='Scorecard'!$B$3-37,1,0)</x:f>
        <x:v>1</x:v>
      </x:c>
      <x:c r="G366" s="50" t="n">
        <x:f>IF(COUNTIFS(Events!$B$4:$B$1456,$A366,Events!$C$4:$C$1456,"day30_checkin_completed",Events!$D$4:$D$1456,"&gt;="&amp;($B366+28),Events!$D$4:$D$1456,"&lt;="&amp;($B366+37))&gt;0,1,0)</x:f>
        <x:v>0</x:v>
      </x:c>
      <x:c r="H366" s="50" t="n">
        <x:f>IF($B366&lt;='Scorecard'!$B$3-74,1,0)</x:f>
        <x:v>0</x:v>
      </x:c>
      <x:c r="I366" s="50" t="n">
        <x:f>IF(COUNTIFS(Events!$B$4:$B$1456,$A366,Events!$C$4:$C$1456,"day60_activity_observed",Events!$D$4:$D$1456,"&gt;="&amp;($B366+60),Events!$D$4:$D$1456,"&lt;="&amp;($B366+74))&gt;0,1,0)</x:f>
        <x:v>0</x:v>
      </x:c>
    </x:row>
    <x:row r="367">
      <x:c r="A367" s="50" t="str">
        <x:f>Members!A367</x:f>
        <x:v>SYN0364</x:v>
      </x:c>
      <x:c r="B367" s="51" t="n">
        <x:f>Members!B367</x:f>
        <x:v>46233</x:v>
      </x:c>
      <x:c r="C367" s="50" t="str">
        <x:f>Members!C367</x:f>
        <x:v>Employer</x:v>
      </x:c>
      <x:c r="D367" s="50" t="n">
        <x:f>IF($B367&lt;='Scorecard'!$B$3-7,1,0)</x:f>
        <x:v>1</x:v>
      </x:c>
      <x:c r="E367" s="50" t="n">
        <x:f>IF(COUNTIFS(Events!$B$4:$B$1456,$A367,Events!$C$4:$C$1456,"coach_contact_completed",Events!$D$4:$D$1456,"&gt;="&amp;($B367+0),Events!$D$4:$D$1456,"&lt;="&amp;($B367+7))&gt;0,1,0)</x:f>
        <x:v>1</x:v>
      </x:c>
      <x:c r="F367" s="50" t="n">
        <x:f>IF($B367&lt;='Scorecard'!$B$3-37,1,0)</x:f>
        <x:v>1</x:v>
      </x:c>
      <x:c r="G367" s="50" t="n">
        <x:f>IF(COUNTIFS(Events!$B$4:$B$1456,$A367,Events!$C$4:$C$1456,"day30_checkin_completed",Events!$D$4:$D$1456,"&gt;="&amp;($B367+28),Events!$D$4:$D$1456,"&lt;="&amp;($B367+37))&gt;0,1,0)</x:f>
        <x:v>0</x:v>
      </x:c>
      <x:c r="H367" s="50" t="n">
        <x:f>IF($B367&lt;='Scorecard'!$B$3-74,1,0)</x:f>
        <x:v>0</x:v>
      </x:c>
      <x:c r="I367" s="50" t="n">
        <x:f>IF(COUNTIFS(Events!$B$4:$B$1456,$A367,Events!$C$4:$C$1456,"day60_activity_observed",Events!$D$4:$D$1456,"&gt;="&amp;($B367+60),Events!$D$4:$D$1456,"&lt;="&amp;($B367+74))&gt;0,1,0)</x:f>
        <x:v>0</x:v>
      </x:c>
    </x:row>
    <x:row r="368">
      <x:c r="A368" s="50" t="str">
        <x:f>Members!A368</x:f>
        <x:v>SYN0365</x:v>
      </x:c>
      <x:c r="B368" s="51" t="n">
        <x:f>Members!B368</x:f>
        <x:v>46204</x:v>
      </x:c>
      <x:c r="C368" s="50" t="str">
        <x:f>Members!C368</x:f>
        <x:v>Direct</x:v>
      </x:c>
      <x:c r="D368" s="50" t="n">
        <x:f>IF($B368&lt;='Scorecard'!$B$3-7,1,0)</x:f>
        <x:v>1</x:v>
      </x:c>
      <x:c r="E368" s="50" t="n">
        <x:f>IF(COUNTIFS(Events!$B$4:$B$1456,$A368,Events!$C$4:$C$1456,"coach_contact_completed",Events!$D$4:$D$1456,"&gt;="&amp;($B368+0),Events!$D$4:$D$1456,"&lt;="&amp;($B368+7))&gt;0,1,0)</x:f>
        <x:v>1</x:v>
      </x:c>
      <x:c r="F368" s="50" t="n">
        <x:f>IF($B368&lt;='Scorecard'!$B$3-37,1,0)</x:f>
        <x:v>1</x:v>
      </x:c>
      <x:c r="G368" s="50" t="n">
        <x:f>IF(COUNTIFS(Events!$B$4:$B$1456,$A368,Events!$C$4:$C$1456,"day30_checkin_completed",Events!$D$4:$D$1456,"&gt;="&amp;($B368+28),Events!$D$4:$D$1456,"&lt;="&amp;($B368+37))&gt;0,1,0)</x:f>
        <x:v>1</x:v>
      </x:c>
      <x:c r="H368" s="50" t="n">
        <x:f>IF($B368&lt;='Scorecard'!$B$3-74,1,0)</x:f>
        <x:v>1</x:v>
      </x:c>
      <x:c r="I368" s="50" t="n">
        <x:f>IF(COUNTIFS(Events!$B$4:$B$1456,$A368,Events!$C$4:$C$1456,"day60_activity_observed",Events!$D$4:$D$1456,"&gt;="&amp;($B368+60),Events!$D$4:$D$1456,"&lt;="&amp;($B368+74))&gt;0,1,0)</x:f>
        <x:v>1</x:v>
      </x:c>
    </x:row>
    <x:row r="369">
      <x:c r="A369" s="50" t="str">
        <x:f>Members!A369</x:f>
        <x:v>SYN0366</x:v>
      </x:c>
      <x:c r="B369" s="51" t="n">
        <x:f>Members!B369</x:f>
        <x:v>46251</x:v>
      </x:c>
      <x:c r="C369" s="50" t="str">
        <x:f>Members!C369</x:f>
        <x:v>Direct</x:v>
      </x:c>
      <x:c r="D369" s="50" t="n">
        <x:f>IF($B369&lt;='Scorecard'!$B$3-7,1,0)</x:f>
        <x:v>1</x:v>
      </x:c>
      <x:c r="E369" s="50" t="n">
        <x:f>IF(COUNTIFS(Events!$B$4:$B$1456,$A369,Events!$C$4:$C$1456,"coach_contact_completed",Events!$D$4:$D$1456,"&gt;="&amp;($B369+0),Events!$D$4:$D$1456,"&lt;="&amp;($B369+7))&gt;0,1,0)</x:f>
        <x:v>0</x:v>
      </x:c>
      <x:c r="F369" s="50" t="n">
        <x:f>IF($B369&lt;='Scorecard'!$B$3-37,1,0)</x:f>
        <x:v>1</x:v>
      </x:c>
      <x:c r="G369" s="50" t="n">
        <x:f>IF(COUNTIFS(Events!$B$4:$B$1456,$A369,Events!$C$4:$C$1456,"day30_checkin_completed",Events!$D$4:$D$1456,"&gt;="&amp;($B369+28),Events!$D$4:$D$1456,"&lt;="&amp;($B369+37))&gt;0,1,0)</x:f>
        <x:v>0</x:v>
      </x:c>
      <x:c r="H369" s="50" t="n">
        <x:f>IF($B369&lt;='Scorecard'!$B$3-74,1,0)</x:f>
        <x:v>0</x:v>
      </x:c>
      <x:c r="I369" s="50" t="n">
        <x:f>IF(COUNTIFS(Events!$B$4:$B$1456,$A369,Events!$C$4:$C$1456,"day60_activity_observed",Events!$D$4:$D$1456,"&gt;="&amp;($B369+60),Events!$D$4:$D$1456,"&lt;="&amp;($B369+74))&gt;0,1,0)</x:f>
        <x:v>0</x:v>
      </x:c>
    </x:row>
    <x:row r="370">
      <x:c r="A370" s="50" t="str">
        <x:f>Members!A370</x:f>
        <x:v>SYN0367</x:v>
      </x:c>
      <x:c r="B370" s="51" t="n">
        <x:f>Members!B370</x:f>
        <x:v>46256</x:v>
      </x:c>
      <x:c r="C370" s="50" t="str">
        <x:f>Members!C370</x:f>
        <x:v>Direct</x:v>
      </x:c>
      <x:c r="D370" s="50" t="n">
        <x:f>IF($B370&lt;='Scorecard'!$B$3-7,1,0)</x:f>
        <x:v>1</x:v>
      </x:c>
      <x:c r="E370" s="50" t="n">
        <x:f>IF(COUNTIFS(Events!$B$4:$B$1456,$A370,Events!$C$4:$C$1456,"coach_contact_completed",Events!$D$4:$D$1456,"&gt;="&amp;($B370+0),Events!$D$4:$D$1456,"&lt;="&amp;($B370+7))&gt;0,1,0)</x:f>
        <x:v>0</x:v>
      </x:c>
      <x:c r="F370" s="50" t="n">
        <x:f>IF($B370&lt;='Scorecard'!$B$3-37,1,0)</x:f>
        <x:v>1</x:v>
      </x:c>
      <x:c r="G370" s="50" t="n">
        <x:f>IF(COUNTIFS(Events!$B$4:$B$1456,$A370,Events!$C$4:$C$1456,"day30_checkin_completed",Events!$D$4:$D$1456,"&gt;="&amp;($B370+28),Events!$D$4:$D$1456,"&lt;="&amp;($B370+37))&gt;0,1,0)</x:f>
        <x:v>1</x:v>
      </x:c>
      <x:c r="H370" s="50" t="n">
        <x:f>IF($B370&lt;='Scorecard'!$B$3-74,1,0)</x:f>
        <x:v>0</x:v>
      </x:c>
      <x:c r="I370" s="50" t="n">
        <x:f>IF(COUNTIFS(Events!$B$4:$B$1456,$A370,Events!$C$4:$C$1456,"day60_activity_observed",Events!$D$4:$D$1456,"&gt;="&amp;($B370+60),Events!$D$4:$D$1456,"&lt;="&amp;($B370+74))&gt;0,1,0)</x:f>
        <x:v>0</x:v>
      </x:c>
    </x:row>
    <x:row r="371">
      <x:c r="A371" s="50" t="str">
        <x:f>Members!A371</x:f>
        <x:v>SYN0368</x:v>
      </x:c>
      <x:c r="B371" s="51" t="n">
        <x:f>Members!B371</x:f>
        <x:v>46058</x:v>
      </x:c>
      <x:c r="C371" s="50" t="str">
        <x:f>Members!C371</x:f>
        <x:v>Direct</x:v>
      </x:c>
      <x:c r="D371" s="50" t="n">
        <x:f>IF($B371&lt;='Scorecard'!$B$3-7,1,0)</x:f>
        <x:v>1</x:v>
      </x:c>
      <x:c r="E371" s="50" t="n">
        <x:f>IF(COUNTIFS(Events!$B$4:$B$1456,$A371,Events!$C$4:$C$1456,"coach_contact_completed",Events!$D$4:$D$1456,"&gt;="&amp;($B371+0),Events!$D$4:$D$1456,"&lt;="&amp;($B371+7))&gt;0,1,0)</x:f>
        <x:v>1</x:v>
      </x:c>
      <x:c r="F371" s="50" t="n">
        <x:f>IF($B371&lt;='Scorecard'!$B$3-37,1,0)</x:f>
        <x:v>1</x:v>
      </x:c>
      <x:c r="G371" s="50" t="n">
        <x:f>IF(COUNTIFS(Events!$B$4:$B$1456,$A371,Events!$C$4:$C$1456,"day30_checkin_completed",Events!$D$4:$D$1456,"&gt;="&amp;($B371+28),Events!$D$4:$D$1456,"&lt;="&amp;($B371+37))&gt;0,1,0)</x:f>
        <x:v>1</x:v>
      </x:c>
      <x:c r="H371" s="50" t="n">
        <x:f>IF($B371&lt;='Scorecard'!$B$3-74,1,0)</x:f>
        <x:v>1</x:v>
      </x:c>
      <x:c r="I371" s="50" t="n">
        <x:f>IF(COUNTIFS(Events!$B$4:$B$1456,$A371,Events!$C$4:$C$1456,"day60_activity_observed",Events!$D$4:$D$1456,"&gt;="&amp;($B371+60),Events!$D$4:$D$1456,"&lt;="&amp;($B371+74))&gt;0,1,0)</x:f>
        <x:v>1</x:v>
      </x:c>
    </x:row>
    <x:row r="372">
      <x:c r="A372" s="50" t="str">
        <x:f>Members!A372</x:f>
        <x:v>SYN0369</x:v>
      </x:c>
      <x:c r="B372" s="51" t="n">
        <x:f>Members!B372</x:f>
        <x:v>46160</x:v>
      </x:c>
      <x:c r="C372" s="50" t="str">
        <x:f>Members!C372</x:f>
        <x:v>Employer</x:v>
      </x:c>
      <x:c r="D372" s="50" t="n">
        <x:f>IF($B372&lt;='Scorecard'!$B$3-7,1,0)</x:f>
        <x:v>1</x:v>
      </x:c>
      <x:c r="E372" s="50" t="n">
        <x:f>IF(COUNTIFS(Events!$B$4:$B$1456,$A372,Events!$C$4:$C$1456,"coach_contact_completed",Events!$D$4:$D$1456,"&gt;="&amp;($B372+0),Events!$D$4:$D$1456,"&lt;="&amp;($B372+7))&gt;0,1,0)</x:f>
        <x:v>0</x:v>
      </x:c>
      <x:c r="F372" s="50" t="n">
        <x:f>IF($B372&lt;='Scorecard'!$B$3-37,1,0)</x:f>
        <x:v>1</x:v>
      </x:c>
      <x:c r="G372" s="50" t="n">
        <x:f>IF(COUNTIFS(Events!$B$4:$B$1456,$A372,Events!$C$4:$C$1456,"day30_checkin_completed",Events!$D$4:$D$1456,"&gt;="&amp;($B372+28),Events!$D$4:$D$1456,"&lt;="&amp;($B372+37))&gt;0,1,0)</x:f>
        <x:v>1</x:v>
      </x:c>
      <x:c r="H372" s="50" t="n">
        <x:f>IF($B372&lt;='Scorecard'!$B$3-74,1,0)</x:f>
        <x:v>1</x:v>
      </x:c>
      <x:c r="I372" s="50" t="n">
        <x:f>IF(COUNTIFS(Events!$B$4:$B$1456,$A372,Events!$C$4:$C$1456,"day60_activity_observed",Events!$D$4:$D$1456,"&gt;="&amp;($B372+60),Events!$D$4:$D$1456,"&lt;="&amp;($B372+74))&gt;0,1,0)</x:f>
        <x:v>0</x:v>
      </x:c>
    </x:row>
    <x:row r="373">
      <x:c r="A373" s="50" t="str">
        <x:f>Members!A373</x:f>
        <x:v>SYN0370</x:v>
      </x:c>
      <x:c r="B373" s="51" t="n">
        <x:f>Members!B373</x:f>
        <x:v>46063</x:v>
      </x:c>
      <x:c r="C373" s="50" t="str">
        <x:f>Members!C373</x:f>
        <x:v>Direct</x:v>
      </x:c>
      <x:c r="D373" s="50" t="n">
        <x:f>IF($B373&lt;='Scorecard'!$B$3-7,1,0)</x:f>
        <x:v>1</x:v>
      </x:c>
      <x:c r="E373" s="50" t="n">
        <x:f>IF(COUNTIFS(Events!$B$4:$B$1456,$A373,Events!$C$4:$C$1456,"coach_contact_completed",Events!$D$4:$D$1456,"&gt;="&amp;($B373+0),Events!$D$4:$D$1456,"&lt;="&amp;($B373+7))&gt;0,1,0)</x:f>
        <x:v>0</x:v>
      </x:c>
      <x:c r="F373" s="50" t="n">
        <x:f>IF($B373&lt;='Scorecard'!$B$3-37,1,0)</x:f>
        <x:v>1</x:v>
      </x:c>
      <x:c r="G373" s="50" t="n">
        <x:f>IF(COUNTIFS(Events!$B$4:$B$1456,$A373,Events!$C$4:$C$1456,"day30_checkin_completed",Events!$D$4:$D$1456,"&gt;="&amp;($B373+28),Events!$D$4:$D$1456,"&lt;="&amp;($B373+37))&gt;0,1,0)</x:f>
        <x:v>0</x:v>
      </x:c>
      <x:c r="H373" s="50" t="n">
        <x:f>IF($B373&lt;='Scorecard'!$B$3-74,1,0)</x:f>
        <x:v>1</x:v>
      </x:c>
      <x:c r="I373" s="50" t="n">
        <x:f>IF(COUNTIFS(Events!$B$4:$B$1456,$A373,Events!$C$4:$C$1456,"day60_activity_observed",Events!$D$4:$D$1456,"&gt;="&amp;($B373+60),Events!$D$4:$D$1456,"&lt;="&amp;($B373+74))&gt;0,1,0)</x:f>
        <x:v>0</x:v>
      </x:c>
    </x:row>
    <x:row r="374">
      <x:c r="A374" s="50" t="str">
        <x:f>Members!A374</x:f>
        <x:v>SYN0371</x:v>
      </x:c>
      <x:c r="B374" s="51" t="n">
        <x:f>Members!B374</x:f>
        <x:v>46258</x:v>
      </x:c>
      <x:c r="C374" s="50" t="str">
        <x:f>Members!C374</x:f>
        <x:v>Direct</x:v>
      </x:c>
      <x:c r="D374" s="50" t="n">
        <x:f>IF($B374&lt;='Scorecard'!$B$3-7,1,0)</x:f>
        <x:v>1</x:v>
      </x:c>
      <x:c r="E374" s="50" t="n">
        <x:f>IF(COUNTIFS(Events!$B$4:$B$1456,$A374,Events!$C$4:$C$1456,"coach_contact_completed",Events!$D$4:$D$1456,"&gt;="&amp;($B374+0),Events!$D$4:$D$1456,"&lt;="&amp;($B374+7))&gt;0,1,0)</x:f>
        <x:v>0</x:v>
      </x:c>
      <x:c r="F374" s="50" t="n">
        <x:f>IF($B374&lt;='Scorecard'!$B$3-37,1,0)</x:f>
        <x:v>1</x:v>
      </x:c>
      <x:c r="G374" s="50" t="n">
        <x:f>IF(COUNTIFS(Events!$B$4:$B$1456,$A374,Events!$C$4:$C$1456,"day30_checkin_completed",Events!$D$4:$D$1456,"&gt;="&amp;($B374+28),Events!$D$4:$D$1456,"&lt;="&amp;($B374+37))&gt;0,1,0)</x:f>
        <x:v>0</x:v>
      </x:c>
      <x:c r="H374" s="50" t="n">
        <x:f>IF($B374&lt;='Scorecard'!$B$3-74,1,0)</x:f>
        <x:v>0</x:v>
      </x:c>
      <x:c r="I374" s="50" t="n">
        <x:f>IF(COUNTIFS(Events!$B$4:$B$1456,$A374,Events!$C$4:$C$1456,"day60_activity_observed",Events!$D$4:$D$1456,"&gt;="&amp;($B374+60),Events!$D$4:$D$1456,"&lt;="&amp;($B374+74))&gt;0,1,0)</x:f>
        <x:v>0</x:v>
      </x:c>
    </x:row>
    <x:row r="375">
      <x:c r="A375" s="50" t="str">
        <x:f>Members!A375</x:f>
        <x:v>SYN0372</x:v>
      </x:c>
      <x:c r="B375" s="51" t="n">
        <x:f>Members!B375</x:f>
        <x:v>46211</x:v>
      </x:c>
      <x:c r="C375" s="50" t="str">
        <x:f>Members!C375</x:f>
        <x:v>Employer</x:v>
      </x:c>
      <x:c r="D375" s="50" t="n">
        <x:f>IF($B375&lt;='Scorecard'!$B$3-7,1,0)</x:f>
        <x:v>1</x:v>
      </x:c>
      <x:c r="E375" s="50" t="n">
        <x:f>IF(COUNTIFS(Events!$B$4:$B$1456,$A375,Events!$C$4:$C$1456,"coach_contact_completed",Events!$D$4:$D$1456,"&gt;="&amp;($B375+0),Events!$D$4:$D$1456,"&lt;="&amp;($B375+7))&gt;0,1,0)</x:f>
        <x:v>1</x:v>
      </x:c>
      <x:c r="F375" s="50" t="n">
        <x:f>IF($B375&lt;='Scorecard'!$B$3-37,1,0)</x:f>
        <x:v>1</x:v>
      </x:c>
      <x:c r="G375" s="50" t="n">
        <x:f>IF(COUNTIFS(Events!$B$4:$B$1456,$A375,Events!$C$4:$C$1456,"day30_checkin_completed",Events!$D$4:$D$1456,"&gt;="&amp;($B375+28),Events!$D$4:$D$1456,"&lt;="&amp;($B375+37))&gt;0,1,0)</x:f>
        <x:v>1</x:v>
      </x:c>
      <x:c r="H375" s="50" t="n">
        <x:f>IF($B375&lt;='Scorecard'!$B$3-74,1,0)</x:f>
        <x:v>1</x:v>
      </x:c>
      <x:c r="I375" s="50" t="n">
        <x:f>IF(COUNTIFS(Events!$B$4:$B$1456,$A375,Events!$C$4:$C$1456,"day60_activity_observed",Events!$D$4:$D$1456,"&gt;="&amp;($B375+60),Events!$D$4:$D$1456,"&lt;="&amp;($B375+74))&gt;0,1,0)</x:f>
        <x:v>1</x:v>
      </x:c>
    </x:row>
    <x:row r="376">
      <x:c r="A376" s="50" t="str">
        <x:f>Members!A376</x:f>
        <x:v>SYN0373</x:v>
      </x:c>
      <x:c r="B376" s="51" t="n">
        <x:f>Members!B376</x:f>
        <x:v>46241</x:v>
      </x:c>
      <x:c r="C376" s="50" t="str">
        <x:f>Members!C376</x:f>
        <x:v>Direct</x:v>
      </x:c>
      <x:c r="D376" s="50" t="n">
        <x:f>IF($B376&lt;='Scorecard'!$B$3-7,1,0)</x:f>
        <x:v>1</x:v>
      </x:c>
      <x:c r="E376" s="50" t="n">
        <x:f>IF(COUNTIFS(Events!$B$4:$B$1456,$A376,Events!$C$4:$C$1456,"coach_contact_completed",Events!$D$4:$D$1456,"&gt;="&amp;($B376+0),Events!$D$4:$D$1456,"&lt;="&amp;($B376+7))&gt;0,1,0)</x:f>
        <x:v>1</x:v>
      </x:c>
      <x:c r="F376" s="50" t="n">
        <x:f>IF($B376&lt;='Scorecard'!$B$3-37,1,0)</x:f>
        <x:v>1</x:v>
      </x:c>
      <x:c r="G376" s="50" t="n">
        <x:f>IF(COUNTIFS(Events!$B$4:$B$1456,$A376,Events!$C$4:$C$1456,"day30_checkin_completed",Events!$D$4:$D$1456,"&gt;="&amp;($B376+28),Events!$D$4:$D$1456,"&lt;="&amp;($B376+37))&gt;0,1,0)</x:f>
        <x:v>1</x:v>
      </x:c>
      <x:c r="H376" s="50" t="n">
        <x:f>IF($B376&lt;='Scorecard'!$B$3-74,1,0)</x:f>
        <x:v>0</x:v>
      </x:c>
      <x:c r="I376" s="50" t="n">
        <x:f>IF(COUNTIFS(Events!$B$4:$B$1456,$A376,Events!$C$4:$C$1456,"day60_activity_observed",Events!$D$4:$D$1456,"&gt;="&amp;($B376+60),Events!$D$4:$D$1456,"&lt;="&amp;($B376+74))&gt;0,1,0)</x:f>
        <x:v>0</x:v>
      </x:c>
    </x:row>
    <x:row r="377">
      <x:c r="A377" s="50" t="str">
        <x:f>Members!A377</x:f>
        <x:v>SYN0374</x:v>
      </x:c>
      <x:c r="B377" s="51" t="n">
        <x:f>Members!B377</x:f>
        <x:v>46036</x:v>
      </x:c>
      <x:c r="C377" s="50" t="str">
        <x:f>Members!C377</x:f>
        <x:v>Direct</x:v>
      </x:c>
      <x:c r="D377" s="50" t="n">
        <x:f>IF($B377&lt;='Scorecard'!$B$3-7,1,0)</x:f>
        <x:v>1</x:v>
      </x:c>
      <x:c r="E377" s="50" t="n">
        <x:f>IF(COUNTIFS(Events!$B$4:$B$1456,$A377,Events!$C$4:$C$1456,"coach_contact_completed",Events!$D$4:$D$1456,"&gt;="&amp;($B377+0),Events!$D$4:$D$1456,"&lt;="&amp;($B377+7))&gt;0,1,0)</x:f>
        <x:v>0</x:v>
      </x:c>
      <x:c r="F377" s="50" t="n">
        <x:f>IF($B377&lt;='Scorecard'!$B$3-37,1,0)</x:f>
        <x:v>1</x:v>
      </x:c>
      <x:c r="G377" s="50" t="n">
        <x:f>IF(COUNTIFS(Events!$B$4:$B$1456,$A377,Events!$C$4:$C$1456,"day30_checkin_completed",Events!$D$4:$D$1456,"&gt;="&amp;($B377+28),Events!$D$4:$D$1456,"&lt;="&amp;($B377+37))&gt;0,1,0)</x:f>
        <x:v>1</x:v>
      </x:c>
      <x:c r="H377" s="50" t="n">
        <x:f>IF($B377&lt;='Scorecard'!$B$3-74,1,0)</x:f>
        <x:v>1</x:v>
      </x:c>
      <x:c r="I377" s="50" t="n">
        <x:f>IF(COUNTIFS(Events!$B$4:$B$1456,$A377,Events!$C$4:$C$1456,"day60_activity_observed",Events!$D$4:$D$1456,"&gt;="&amp;($B377+60),Events!$D$4:$D$1456,"&lt;="&amp;($B377+74))&gt;0,1,0)</x:f>
        <x:v>1</x:v>
      </x:c>
    </x:row>
    <x:row r="378">
      <x:c r="A378" s="50" t="str">
        <x:f>Members!A378</x:f>
        <x:v>SYN0375</x:v>
      </x:c>
      <x:c r="B378" s="51" t="n">
        <x:f>Members!B378</x:f>
        <x:v>46148</x:v>
      </x:c>
      <x:c r="C378" s="50" t="str">
        <x:f>Members!C378</x:f>
        <x:v>Direct</x:v>
      </x:c>
      <x:c r="D378" s="50" t="n">
        <x:f>IF($B378&lt;='Scorecard'!$B$3-7,1,0)</x:f>
        <x:v>1</x:v>
      </x:c>
      <x:c r="E378" s="50" t="n">
        <x:f>IF(COUNTIFS(Events!$B$4:$B$1456,$A378,Events!$C$4:$C$1456,"coach_contact_completed",Events!$D$4:$D$1456,"&gt;="&amp;($B378+0),Events!$D$4:$D$1456,"&lt;="&amp;($B378+7))&gt;0,1,0)</x:f>
        <x:v>1</x:v>
      </x:c>
      <x:c r="F378" s="50" t="n">
        <x:f>IF($B378&lt;='Scorecard'!$B$3-37,1,0)</x:f>
        <x:v>1</x:v>
      </x:c>
      <x:c r="G378" s="50" t="n">
        <x:f>IF(COUNTIFS(Events!$B$4:$B$1456,$A378,Events!$C$4:$C$1456,"day30_checkin_completed",Events!$D$4:$D$1456,"&gt;="&amp;($B378+28),Events!$D$4:$D$1456,"&lt;="&amp;($B378+37))&gt;0,1,0)</x:f>
        <x:v>1</x:v>
      </x:c>
      <x:c r="H378" s="50" t="n">
        <x:f>IF($B378&lt;='Scorecard'!$B$3-74,1,0)</x:f>
        <x:v>1</x:v>
      </x:c>
      <x:c r="I378" s="50" t="n">
        <x:f>IF(COUNTIFS(Events!$B$4:$B$1456,$A378,Events!$C$4:$C$1456,"day60_activity_observed",Events!$D$4:$D$1456,"&gt;="&amp;($B378+60),Events!$D$4:$D$1456,"&lt;="&amp;($B378+74))&gt;0,1,0)</x:f>
        <x:v>0</x:v>
      </x:c>
    </x:row>
    <x:row r="379">
      <x:c r="A379" s="50" t="str">
        <x:f>Members!A379</x:f>
        <x:v>SYN0376</x:v>
      </x:c>
      <x:c r="B379" s="51" t="n">
        <x:f>Members!B379</x:f>
        <x:v>46235</x:v>
      </x:c>
      <x:c r="C379" s="50" t="str">
        <x:f>Members!C379</x:f>
        <x:v>Direct</x:v>
      </x:c>
      <x:c r="D379" s="50" t="n">
        <x:f>IF($B379&lt;='Scorecard'!$B$3-7,1,0)</x:f>
        <x:v>1</x:v>
      </x:c>
      <x:c r="E379" s="50" t="n">
        <x:f>IF(COUNTIFS(Events!$B$4:$B$1456,$A379,Events!$C$4:$C$1456,"coach_contact_completed",Events!$D$4:$D$1456,"&gt;="&amp;($B379+0),Events!$D$4:$D$1456,"&lt;="&amp;($B379+7))&gt;0,1,0)</x:f>
        <x:v>1</x:v>
      </x:c>
      <x:c r="F379" s="50" t="n">
        <x:f>IF($B379&lt;='Scorecard'!$B$3-37,1,0)</x:f>
        <x:v>1</x:v>
      </x:c>
      <x:c r="G379" s="50" t="n">
        <x:f>IF(COUNTIFS(Events!$B$4:$B$1456,$A379,Events!$C$4:$C$1456,"day30_checkin_completed",Events!$D$4:$D$1456,"&gt;="&amp;($B379+28),Events!$D$4:$D$1456,"&lt;="&amp;($B379+37))&gt;0,1,0)</x:f>
        <x:v>0</x:v>
      </x:c>
      <x:c r="H379" s="50" t="n">
        <x:f>IF($B379&lt;='Scorecard'!$B$3-74,1,0)</x:f>
        <x:v>0</x:v>
      </x:c>
      <x:c r="I379" s="50" t="n">
        <x:f>IF(COUNTIFS(Events!$B$4:$B$1456,$A379,Events!$C$4:$C$1456,"day60_activity_observed",Events!$D$4:$D$1456,"&gt;="&amp;($B379+60),Events!$D$4:$D$1456,"&lt;="&amp;($B379+74))&gt;0,1,0)</x:f>
        <x:v>0</x:v>
      </x:c>
    </x:row>
    <x:row r="380">
      <x:c r="A380" s="50" t="str">
        <x:f>Members!A380</x:f>
        <x:v>SYN0377</x:v>
      </x:c>
      <x:c r="B380" s="51" t="n">
        <x:f>Members!B380</x:f>
        <x:v>46114</x:v>
      </x:c>
      <x:c r="C380" s="50" t="str">
        <x:f>Members!C380</x:f>
        <x:v>Employer</x:v>
      </x:c>
      <x:c r="D380" s="50" t="n">
        <x:f>IF($B380&lt;='Scorecard'!$B$3-7,1,0)</x:f>
        <x:v>1</x:v>
      </x:c>
      <x:c r="E380" s="50" t="n">
        <x:f>IF(COUNTIFS(Events!$B$4:$B$1456,$A380,Events!$C$4:$C$1456,"coach_contact_completed",Events!$D$4:$D$1456,"&gt;="&amp;($B380+0),Events!$D$4:$D$1456,"&lt;="&amp;($B380+7))&gt;0,1,0)</x:f>
        <x:v>0</x:v>
      </x:c>
      <x:c r="F380" s="50" t="n">
        <x:f>IF($B380&lt;='Scorecard'!$B$3-37,1,0)</x:f>
        <x:v>1</x:v>
      </x:c>
      <x:c r="G380" s="50" t="n">
        <x:f>IF(COUNTIFS(Events!$B$4:$B$1456,$A380,Events!$C$4:$C$1456,"day30_checkin_completed",Events!$D$4:$D$1456,"&gt;="&amp;($B380+28),Events!$D$4:$D$1456,"&lt;="&amp;($B380+37))&gt;0,1,0)</x:f>
        <x:v>1</x:v>
      </x:c>
      <x:c r="H380" s="50" t="n">
        <x:f>IF($B380&lt;='Scorecard'!$B$3-74,1,0)</x:f>
        <x:v>1</x:v>
      </x:c>
      <x:c r="I380" s="50" t="n">
        <x:f>IF(COUNTIFS(Events!$B$4:$B$1456,$A380,Events!$C$4:$C$1456,"day60_activity_observed",Events!$D$4:$D$1456,"&gt;="&amp;($B380+60),Events!$D$4:$D$1456,"&lt;="&amp;($B380+74))&gt;0,1,0)</x:f>
        <x:v>0</x:v>
      </x:c>
    </x:row>
    <x:row r="381">
      <x:c r="A381" s="50" t="str">
        <x:f>Members!A381</x:f>
        <x:v>SYN0378</x:v>
      </x:c>
      <x:c r="B381" s="51" t="n">
        <x:f>Members!B381</x:f>
        <x:v>46218</x:v>
      </x:c>
      <x:c r="C381" s="50" t="str">
        <x:f>Members!C381</x:f>
        <x:v>Direct</x:v>
      </x:c>
      <x:c r="D381" s="50" t="n">
        <x:f>IF($B381&lt;='Scorecard'!$B$3-7,1,0)</x:f>
        <x:v>1</x:v>
      </x:c>
      <x:c r="E381" s="50" t="n">
        <x:f>IF(COUNTIFS(Events!$B$4:$B$1456,$A381,Events!$C$4:$C$1456,"coach_contact_completed",Events!$D$4:$D$1456,"&gt;="&amp;($B381+0),Events!$D$4:$D$1456,"&lt;="&amp;($B381+7))&gt;0,1,0)</x:f>
        <x:v>1</x:v>
      </x:c>
      <x:c r="F381" s="50" t="n">
        <x:f>IF($B381&lt;='Scorecard'!$B$3-37,1,0)</x:f>
        <x:v>1</x:v>
      </x:c>
      <x:c r="G381" s="50" t="n">
        <x:f>IF(COUNTIFS(Events!$B$4:$B$1456,$A381,Events!$C$4:$C$1456,"day30_checkin_completed",Events!$D$4:$D$1456,"&gt;="&amp;($B381+28),Events!$D$4:$D$1456,"&lt;="&amp;($B381+37))&gt;0,1,0)</x:f>
        <x:v>1</x:v>
      </x:c>
      <x:c r="H381" s="50" t="n">
        <x:f>IF($B381&lt;='Scorecard'!$B$3-74,1,0)</x:f>
        <x:v>1</x:v>
      </x:c>
      <x:c r="I381" s="50" t="n">
        <x:f>IF(COUNTIFS(Events!$B$4:$B$1456,$A381,Events!$C$4:$C$1456,"day60_activity_observed",Events!$D$4:$D$1456,"&gt;="&amp;($B381+60),Events!$D$4:$D$1456,"&lt;="&amp;($B381+74))&gt;0,1,0)</x:f>
        <x:v>0</x:v>
      </x:c>
    </x:row>
    <x:row r="382">
      <x:c r="A382" s="50" t="str">
        <x:f>Members!A382</x:f>
        <x:v>SYN0379</x:v>
      </x:c>
      <x:c r="B382" s="51" t="n">
        <x:f>Members!B382</x:f>
        <x:v>46219</x:v>
      </x:c>
      <x:c r="C382" s="50" t="str">
        <x:f>Members!C382</x:f>
        <x:v>Employer</x:v>
      </x:c>
      <x:c r="D382" s="50" t="n">
        <x:f>IF($B382&lt;='Scorecard'!$B$3-7,1,0)</x:f>
        <x:v>1</x:v>
      </x:c>
      <x:c r="E382" s="50" t="n">
        <x:f>IF(COUNTIFS(Events!$B$4:$B$1456,$A382,Events!$C$4:$C$1456,"coach_contact_completed",Events!$D$4:$D$1456,"&gt;="&amp;($B382+0),Events!$D$4:$D$1456,"&lt;="&amp;($B382+7))&gt;0,1,0)</x:f>
        <x:v>0</x:v>
      </x:c>
      <x:c r="F382" s="50" t="n">
        <x:f>IF($B382&lt;='Scorecard'!$B$3-37,1,0)</x:f>
        <x:v>1</x:v>
      </x:c>
      <x:c r="G382" s="50" t="n">
        <x:f>IF(COUNTIFS(Events!$B$4:$B$1456,$A382,Events!$C$4:$C$1456,"day30_checkin_completed",Events!$D$4:$D$1456,"&gt;="&amp;($B382+28),Events!$D$4:$D$1456,"&lt;="&amp;($B382+37))&gt;0,1,0)</x:f>
        <x:v>0</x:v>
      </x:c>
      <x:c r="H382" s="50" t="n">
        <x:f>IF($B382&lt;='Scorecard'!$B$3-74,1,0)</x:f>
        <x:v>1</x:v>
      </x:c>
      <x:c r="I382" s="50" t="n">
        <x:f>IF(COUNTIFS(Events!$B$4:$B$1456,$A382,Events!$C$4:$C$1456,"day60_activity_observed",Events!$D$4:$D$1456,"&gt;="&amp;($B382+60),Events!$D$4:$D$1456,"&lt;="&amp;($B382+74))&gt;0,1,0)</x:f>
        <x:v>1</x:v>
      </x:c>
    </x:row>
    <x:row r="383">
      <x:c r="A383" s="50" t="str">
        <x:f>Members!A383</x:f>
        <x:v>SYN0380</x:v>
      </x:c>
      <x:c r="B383" s="51" t="n">
        <x:f>Members!B383</x:f>
        <x:v>46024</x:v>
      </x:c>
      <x:c r="C383" s="50" t="str">
        <x:f>Members!C383</x:f>
        <x:v>Direct</x:v>
      </x:c>
      <x:c r="D383" s="50" t="n">
        <x:f>IF($B383&lt;='Scorecard'!$B$3-7,1,0)</x:f>
        <x:v>1</x:v>
      </x:c>
      <x:c r="E383" s="50" t="n">
        <x:f>IF(COUNTIFS(Events!$B$4:$B$1456,$A383,Events!$C$4:$C$1456,"coach_contact_completed",Events!$D$4:$D$1456,"&gt;="&amp;($B383+0),Events!$D$4:$D$1456,"&lt;="&amp;($B383+7))&gt;0,1,0)</x:f>
        <x:v>0</x:v>
      </x:c>
      <x:c r="F383" s="50" t="n">
        <x:f>IF($B383&lt;='Scorecard'!$B$3-37,1,0)</x:f>
        <x:v>1</x:v>
      </x:c>
      <x:c r="G383" s="50" t="n">
        <x:f>IF(COUNTIFS(Events!$B$4:$B$1456,$A383,Events!$C$4:$C$1456,"day30_checkin_completed",Events!$D$4:$D$1456,"&gt;="&amp;($B383+28),Events!$D$4:$D$1456,"&lt;="&amp;($B383+37))&gt;0,1,0)</x:f>
        <x:v>0</x:v>
      </x:c>
      <x:c r="H383" s="50" t="n">
        <x:f>IF($B383&lt;='Scorecard'!$B$3-74,1,0)</x:f>
        <x:v>1</x:v>
      </x:c>
      <x:c r="I383" s="50" t="n">
        <x:f>IF(COUNTIFS(Events!$B$4:$B$1456,$A383,Events!$C$4:$C$1456,"day60_activity_observed",Events!$D$4:$D$1456,"&gt;="&amp;($B383+60),Events!$D$4:$D$1456,"&lt;="&amp;($B383+74))&gt;0,1,0)</x:f>
        <x:v>0</x:v>
      </x:c>
    </x:row>
    <x:row r="384">
      <x:c r="A384" s="50" t="str">
        <x:f>Members!A384</x:f>
        <x:v>SYN0381</x:v>
      </x:c>
      <x:c r="B384" s="51" t="n">
        <x:f>Members!B384</x:f>
        <x:v>46156</x:v>
      </x:c>
      <x:c r="C384" s="50" t="str">
        <x:f>Members!C384</x:f>
        <x:v>Direct</x:v>
      </x:c>
      <x:c r="D384" s="50" t="n">
        <x:f>IF($B384&lt;='Scorecard'!$B$3-7,1,0)</x:f>
        <x:v>1</x:v>
      </x:c>
      <x:c r="E384" s="50" t="n">
        <x:f>IF(COUNTIFS(Events!$B$4:$B$1456,$A384,Events!$C$4:$C$1456,"coach_contact_completed",Events!$D$4:$D$1456,"&gt;="&amp;($B384+0),Events!$D$4:$D$1456,"&lt;="&amp;($B384+7))&gt;0,1,0)</x:f>
        <x:v>0</x:v>
      </x:c>
      <x:c r="F384" s="50" t="n">
        <x:f>IF($B384&lt;='Scorecard'!$B$3-37,1,0)</x:f>
        <x:v>1</x:v>
      </x:c>
      <x:c r="G384" s="50" t="n">
        <x:f>IF(COUNTIFS(Events!$B$4:$B$1456,$A384,Events!$C$4:$C$1456,"day30_checkin_completed",Events!$D$4:$D$1456,"&gt;="&amp;($B384+28),Events!$D$4:$D$1456,"&lt;="&amp;($B384+37))&gt;0,1,0)</x:f>
        <x:v>1</x:v>
      </x:c>
      <x:c r="H384" s="50" t="n">
        <x:f>IF($B384&lt;='Scorecard'!$B$3-74,1,0)</x:f>
        <x:v>1</x:v>
      </x:c>
      <x:c r="I384" s="50" t="n">
        <x:f>IF(COUNTIFS(Events!$B$4:$B$1456,$A384,Events!$C$4:$C$1456,"day60_activity_observed",Events!$D$4:$D$1456,"&gt;="&amp;($B384+60),Events!$D$4:$D$1456,"&lt;="&amp;($B384+74))&gt;0,1,0)</x:f>
        <x:v>1</x:v>
      </x:c>
    </x:row>
    <x:row r="385">
      <x:c r="A385" s="50" t="str">
        <x:f>Members!A385</x:f>
        <x:v>SYN0382</x:v>
      </x:c>
      <x:c r="B385" s="51" t="n">
        <x:f>Members!B385</x:f>
        <x:v>46252</x:v>
      </x:c>
      <x:c r="C385" s="50" t="str">
        <x:f>Members!C385</x:f>
        <x:v>Direct</x:v>
      </x:c>
      <x:c r="D385" s="50" t="n">
        <x:f>IF($B385&lt;='Scorecard'!$B$3-7,1,0)</x:f>
        <x:v>1</x:v>
      </x:c>
      <x:c r="E385" s="50" t="n">
        <x:f>IF(COUNTIFS(Events!$B$4:$B$1456,$A385,Events!$C$4:$C$1456,"coach_contact_completed",Events!$D$4:$D$1456,"&gt;="&amp;($B385+0),Events!$D$4:$D$1456,"&lt;="&amp;($B385+7))&gt;0,1,0)</x:f>
        <x:v>1</x:v>
      </x:c>
      <x:c r="F385" s="50" t="n">
        <x:f>IF($B385&lt;='Scorecard'!$B$3-37,1,0)</x:f>
        <x:v>1</x:v>
      </x:c>
      <x:c r="G385" s="50" t="n">
        <x:f>IF(COUNTIFS(Events!$B$4:$B$1456,$A385,Events!$C$4:$C$1456,"day30_checkin_completed",Events!$D$4:$D$1456,"&gt;="&amp;($B385+28),Events!$D$4:$D$1456,"&lt;="&amp;($B385+37))&gt;0,1,0)</x:f>
        <x:v>1</x:v>
      </x:c>
      <x:c r="H385" s="50" t="n">
        <x:f>IF($B385&lt;='Scorecard'!$B$3-74,1,0)</x:f>
        <x:v>0</x:v>
      </x:c>
      <x:c r="I385" s="50" t="n">
        <x:f>IF(COUNTIFS(Events!$B$4:$B$1456,$A385,Events!$C$4:$C$1456,"day60_activity_observed",Events!$D$4:$D$1456,"&gt;="&amp;($B385+60),Events!$D$4:$D$1456,"&lt;="&amp;($B385+74))&gt;0,1,0)</x:f>
        <x:v>0</x:v>
      </x:c>
    </x:row>
    <x:row r="386">
      <x:c r="A386" s="50" t="str">
        <x:f>Members!A386</x:f>
        <x:v>SYN0383</x:v>
      </x:c>
      <x:c r="B386" s="51" t="n">
        <x:f>Members!B386</x:f>
        <x:v>46181</x:v>
      </x:c>
      <x:c r="C386" s="50" t="str">
        <x:f>Members!C386</x:f>
        <x:v>Direct</x:v>
      </x:c>
      <x:c r="D386" s="50" t="n">
        <x:f>IF($B386&lt;='Scorecard'!$B$3-7,1,0)</x:f>
        <x:v>1</x:v>
      </x:c>
      <x:c r="E386" s="50" t="n">
        <x:f>IF(COUNTIFS(Events!$B$4:$B$1456,$A386,Events!$C$4:$C$1456,"coach_contact_completed",Events!$D$4:$D$1456,"&gt;="&amp;($B386+0),Events!$D$4:$D$1456,"&lt;="&amp;($B386+7))&gt;0,1,0)</x:f>
        <x:v>1</x:v>
      </x:c>
      <x:c r="F386" s="50" t="n">
        <x:f>IF($B386&lt;='Scorecard'!$B$3-37,1,0)</x:f>
        <x:v>1</x:v>
      </x:c>
      <x:c r="G386" s="50" t="n">
        <x:f>IF(COUNTIFS(Events!$B$4:$B$1456,$A386,Events!$C$4:$C$1456,"day30_checkin_completed",Events!$D$4:$D$1456,"&gt;="&amp;($B386+28),Events!$D$4:$D$1456,"&lt;="&amp;($B386+37))&gt;0,1,0)</x:f>
        <x:v>1</x:v>
      </x:c>
      <x:c r="H386" s="50" t="n">
        <x:f>IF($B386&lt;='Scorecard'!$B$3-74,1,0)</x:f>
        <x:v>1</x:v>
      </x:c>
      <x:c r="I386" s="50" t="n">
        <x:f>IF(COUNTIFS(Events!$B$4:$B$1456,$A386,Events!$C$4:$C$1456,"day60_activity_observed",Events!$D$4:$D$1456,"&gt;="&amp;($B386+60),Events!$D$4:$D$1456,"&lt;="&amp;($B386+74))&gt;0,1,0)</x:f>
        <x:v>0</x:v>
      </x:c>
    </x:row>
    <x:row r="387">
      <x:c r="A387" s="50" t="str">
        <x:f>Members!A387</x:f>
        <x:v>SYN0384</x:v>
      </x:c>
      <x:c r="B387" s="51" t="n">
        <x:f>Members!B387</x:f>
        <x:v>46043</x:v>
      </x:c>
      <x:c r="C387" s="50" t="str">
        <x:f>Members!C387</x:f>
        <x:v>Direct</x:v>
      </x:c>
      <x:c r="D387" s="50" t="n">
        <x:f>IF($B387&lt;='Scorecard'!$B$3-7,1,0)</x:f>
        <x:v>1</x:v>
      </x:c>
      <x:c r="E387" s="50" t="n">
        <x:f>IF(COUNTIFS(Events!$B$4:$B$1456,$A387,Events!$C$4:$C$1456,"coach_contact_completed",Events!$D$4:$D$1456,"&gt;="&amp;($B387+0),Events!$D$4:$D$1456,"&lt;="&amp;($B387+7))&gt;0,1,0)</x:f>
        <x:v>0</x:v>
      </x:c>
      <x:c r="F387" s="50" t="n">
        <x:f>IF($B387&lt;='Scorecard'!$B$3-37,1,0)</x:f>
        <x:v>1</x:v>
      </x:c>
      <x:c r="G387" s="50" t="n">
        <x:f>IF(COUNTIFS(Events!$B$4:$B$1456,$A387,Events!$C$4:$C$1456,"day30_checkin_completed",Events!$D$4:$D$1456,"&gt;="&amp;($B387+28),Events!$D$4:$D$1456,"&lt;="&amp;($B387+37))&gt;0,1,0)</x:f>
        <x:v>0</x:v>
      </x:c>
      <x:c r="H387" s="50" t="n">
        <x:f>IF($B387&lt;='Scorecard'!$B$3-74,1,0)</x:f>
        <x:v>1</x:v>
      </x:c>
      <x:c r="I387" s="50" t="n">
        <x:f>IF(COUNTIFS(Events!$B$4:$B$1456,$A387,Events!$C$4:$C$1456,"day60_activity_observed",Events!$D$4:$D$1456,"&gt;="&amp;($B387+60),Events!$D$4:$D$1456,"&lt;="&amp;($B387+74))&gt;0,1,0)</x:f>
        <x:v>1</x:v>
      </x:c>
    </x:row>
    <x:row r="388">
      <x:c r="A388" s="50" t="str">
        <x:f>Members!A388</x:f>
        <x:v>SYN0385</x:v>
      </x:c>
      <x:c r="B388" s="51" t="n">
        <x:f>Members!B388</x:f>
        <x:v>46071</x:v>
      </x:c>
      <x:c r="C388" s="50" t="str">
        <x:f>Members!C388</x:f>
        <x:v>Direct</x:v>
      </x:c>
      <x:c r="D388" s="50" t="n">
        <x:f>IF($B388&lt;='Scorecard'!$B$3-7,1,0)</x:f>
        <x:v>1</x:v>
      </x:c>
      <x:c r="E388" s="50" t="n">
        <x:f>IF(COUNTIFS(Events!$B$4:$B$1456,$A388,Events!$C$4:$C$1456,"coach_contact_completed",Events!$D$4:$D$1456,"&gt;="&amp;($B388+0),Events!$D$4:$D$1456,"&lt;="&amp;($B388+7))&gt;0,1,0)</x:f>
        <x:v>1</x:v>
      </x:c>
      <x:c r="F388" s="50" t="n">
        <x:f>IF($B388&lt;='Scorecard'!$B$3-37,1,0)</x:f>
        <x:v>1</x:v>
      </x:c>
      <x:c r="G388" s="50" t="n">
        <x:f>IF(COUNTIFS(Events!$B$4:$B$1456,$A388,Events!$C$4:$C$1456,"day30_checkin_completed",Events!$D$4:$D$1456,"&gt;="&amp;($B388+28),Events!$D$4:$D$1456,"&lt;="&amp;($B388+37))&gt;0,1,0)</x:f>
        <x:v>1</x:v>
      </x:c>
      <x:c r="H388" s="50" t="n">
        <x:f>IF($B388&lt;='Scorecard'!$B$3-74,1,0)</x:f>
        <x:v>1</x:v>
      </x:c>
      <x:c r="I388" s="50" t="n">
        <x:f>IF(COUNTIFS(Events!$B$4:$B$1456,$A388,Events!$C$4:$C$1456,"day60_activity_observed",Events!$D$4:$D$1456,"&gt;="&amp;($B388+60),Events!$D$4:$D$1456,"&lt;="&amp;($B388+74))&gt;0,1,0)</x:f>
        <x:v>1</x:v>
      </x:c>
    </x:row>
    <x:row r="389">
      <x:c r="A389" s="50" t="str">
        <x:f>Members!A389</x:f>
        <x:v>SYN0386</x:v>
      </x:c>
      <x:c r="B389" s="51" t="n">
        <x:f>Members!B389</x:f>
        <x:v>46040</x:v>
      </x:c>
      <x:c r="C389" s="50" t="str">
        <x:f>Members!C389</x:f>
        <x:v>Employer</x:v>
      </x:c>
      <x:c r="D389" s="50" t="n">
        <x:f>IF($B389&lt;='Scorecard'!$B$3-7,1,0)</x:f>
        <x:v>1</x:v>
      </x:c>
      <x:c r="E389" s="50" t="n">
        <x:f>IF(COUNTIFS(Events!$B$4:$B$1456,$A389,Events!$C$4:$C$1456,"coach_contact_completed",Events!$D$4:$D$1456,"&gt;="&amp;($B389+0),Events!$D$4:$D$1456,"&lt;="&amp;($B389+7))&gt;0,1,0)</x:f>
        <x:v>0</x:v>
      </x:c>
      <x:c r="F389" s="50" t="n">
        <x:f>IF($B389&lt;='Scorecard'!$B$3-37,1,0)</x:f>
        <x:v>1</x:v>
      </x:c>
      <x:c r="G389" s="50" t="n">
        <x:f>IF(COUNTIFS(Events!$B$4:$B$1456,$A389,Events!$C$4:$C$1456,"day30_checkin_completed",Events!$D$4:$D$1456,"&gt;="&amp;($B389+28),Events!$D$4:$D$1456,"&lt;="&amp;($B389+37))&gt;0,1,0)</x:f>
        <x:v>0</x:v>
      </x:c>
      <x:c r="H389" s="50" t="n">
        <x:f>IF($B389&lt;='Scorecard'!$B$3-74,1,0)</x:f>
        <x:v>1</x:v>
      </x:c>
      <x:c r="I389" s="50" t="n">
        <x:f>IF(COUNTIFS(Events!$B$4:$B$1456,$A389,Events!$C$4:$C$1456,"day60_activity_observed",Events!$D$4:$D$1456,"&gt;="&amp;($B389+60),Events!$D$4:$D$1456,"&lt;="&amp;($B389+74))&gt;0,1,0)</x:f>
        <x:v>1</x:v>
      </x:c>
    </x:row>
    <x:row r="390">
      <x:c r="A390" s="50" t="str">
        <x:f>Members!A390</x:f>
        <x:v>SYN0387</x:v>
      </x:c>
      <x:c r="B390" s="51" t="n">
        <x:f>Members!B390</x:f>
        <x:v>46164</x:v>
      </x:c>
      <x:c r="C390" s="50" t="str">
        <x:f>Members!C390</x:f>
        <x:v>Direct</x:v>
      </x:c>
      <x:c r="D390" s="50" t="n">
        <x:f>IF($B390&lt;='Scorecard'!$B$3-7,1,0)</x:f>
        <x:v>1</x:v>
      </x:c>
      <x:c r="E390" s="50" t="n">
        <x:f>IF(COUNTIFS(Events!$B$4:$B$1456,$A390,Events!$C$4:$C$1456,"coach_contact_completed",Events!$D$4:$D$1456,"&gt;="&amp;($B390+0),Events!$D$4:$D$1456,"&lt;="&amp;($B390+7))&gt;0,1,0)</x:f>
        <x:v>1</x:v>
      </x:c>
      <x:c r="F390" s="50" t="n">
        <x:f>IF($B390&lt;='Scorecard'!$B$3-37,1,0)</x:f>
        <x:v>1</x:v>
      </x:c>
      <x:c r="G390" s="50" t="n">
        <x:f>IF(COUNTIFS(Events!$B$4:$B$1456,$A390,Events!$C$4:$C$1456,"day30_checkin_completed",Events!$D$4:$D$1456,"&gt;="&amp;($B390+28),Events!$D$4:$D$1456,"&lt;="&amp;($B390+37))&gt;0,1,0)</x:f>
        <x:v>1</x:v>
      </x:c>
      <x:c r="H390" s="50" t="n">
        <x:f>IF($B390&lt;='Scorecard'!$B$3-74,1,0)</x:f>
        <x:v>1</x:v>
      </x:c>
      <x:c r="I390" s="50" t="n">
        <x:f>IF(COUNTIFS(Events!$B$4:$B$1456,$A390,Events!$C$4:$C$1456,"day60_activity_observed",Events!$D$4:$D$1456,"&gt;="&amp;($B390+60),Events!$D$4:$D$1456,"&lt;="&amp;($B390+74))&gt;0,1,0)</x:f>
        <x:v>1</x:v>
      </x:c>
    </x:row>
    <x:row r="391">
      <x:c r="A391" s="50" t="str">
        <x:f>Members!A391</x:f>
        <x:v>SYN0388</x:v>
      </x:c>
      <x:c r="B391" s="51" t="n">
        <x:f>Members!B391</x:f>
        <x:v>46114</x:v>
      </x:c>
      <x:c r="C391" s="50" t="str">
        <x:f>Members!C391</x:f>
        <x:v>Direct</x:v>
      </x:c>
      <x:c r="D391" s="50" t="n">
        <x:f>IF($B391&lt;='Scorecard'!$B$3-7,1,0)</x:f>
        <x:v>1</x:v>
      </x:c>
      <x:c r="E391" s="50" t="n">
        <x:f>IF(COUNTIFS(Events!$B$4:$B$1456,$A391,Events!$C$4:$C$1456,"coach_contact_completed",Events!$D$4:$D$1456,"&gt;="&amp;($B391+0),Events!$D$4:$D$1456,"&lt;="&amp;($B391+7))&gt;0,1,0)</x:f>
        <x:v>0</x:v>
      </x:c>
      <x:c r="F391" s="50" t="n">
        <x:f>IF($B391&lt;='Scorecard'!$B$3-37,1,0)</x:f>
        <x:v>1</x:v>
      </x:c>
      <x:c r="G391" s="50" t="n">
        <x:f>IF(COUNTIFS(Events!$B$4:$B$1456,$A391,Events!$C$4:$C$1456,"day30_checkin_completed",Events!$D$4:$D$1456,"&gt;="&amp;($B391+28),Events!$D$4:$D$1456,"&lt;="&amp;($B391+37))&gt;0,1,0)</x:f>
        <x:v>0</x:v>
      </x:c>
      <x:c r="H391" s="50" t="n">
        <x:f>IF($B391&lt;='Scorecard'!$B$3-74,1,0)</x:f>
        <x:v>1</x:v>
      </x:c>
      <x:c r="I391" s="50" t="n">
        <x:f>IF(COUNTIFS(Events!$B$4:$B$1456,$A391,Events!$C$4:$C$1456,"day60_activity_observed",Events!$D$4:$D$1456,"&gt;="&amp;($B391+60),Events!$D$4:$D$1456,"&lt;="&amp;($B391+74))&gt;0,1,0)</x:f>
        <x:v>1</x:v>
      </x:c>
    </x:row>
    <x:row r="392">
      <x:c r="A392" s="50" t="str">
        <x:f>Members!A392</x:f>
        <x:v>SYN0389</x:v>
      </x:c>
      <x:c r="B392" s="51" t="n">
        <x:f>Members!B392</x:f>
        <x:v>46082</x:v>
      </x:c>
      <x:c r="C392" s="50" t="str">
        <x:f>Members!C392</x:f>
        <x:v>Employer</x:v>
      </x:c>
      <x:c r="D392" s="50" t="n">
        <x:f>IF($B392&lt;='Scorecard'!$B$3-7,1,0)</x:f>
        <x:v>1</x:v>
      </x:c>
      <x:c r="E392" s="50" t="n">
        <x:f>IF(COUNTIFS(Events!$B$4:$B$1456,$A392,Events!$C$4:$C$1456,"coach_contact_completed",Events!$D$4:$D$1456,"&gt;="&amp;($B392+0),Events!$D$4:$D$1456,"&lt;="&amp;($B392+7))&gt;0,1,0)</x:f>
        <x:v>1</x:v>
      </x:c>
      <x:c r="F392" s="50" t="n">
        <x:f>IF($B392&lt;='Scorecard'!$B$3-37,1,0)</x:f>
        <x:v>1</x:v>
      </x:c>
      <x:c r="G392" s="50" t="n">
        <x:f>IF(COUNTIFS(Events!$B$4:$B$1456,$A392,Events!$C$4:$C$1456,"day30_checkin_completed",Events!$D$4:$D$1456,"&gt;="&amp;($B392+28),Events!$D$4:$D$1456,"&lt;="&amp;($B392+37))&gt;0,1,0)</x:f>
        <x:v>0</x:v>
      </x:c>
      <x:c r="H392" s="50" t="n">
        <x:f>IF($B392&lt;='Scorecard'!$B$3-74,1,0)</x:f>
        <x:v>1</x:v>
      </x:c>
      <x:c r="I392" s="50" t="n">
        <x:f>IF(COUNTIFS(Events!$B$4:$B$1456,$A392,Events!$C$4:$C$1456,"day60_activity_observed",Events!$D$4:$D$1456,"&gt;="&amp;($B392+60),Events!$D$4:$D$1456,"&lt;="&amp;($B392+74))&gt;0,1,0)</x:f>
        <x:v>0</x:v>
      </x:c>
    </x:row>
    <x:row r="393">
      <x:c r="A393" s="50" t="str">
        <x:f>Members!A393</x:f>
        <x:v>SYN0390</x:v>
      </x:c>
      <x:c r="B393" s="51" t="n">
        <x:f>Members!B393</x:f>
        <x:v>46261</x:v>
      </x:c>
      <x:c r="C393" s="50" t="str">
        <x:f>Members!C393</x:f>
        <x:v>Direct</x:v>
      </x:c>
      <x:c r="D393" s="50" t="n">
        <x:f>IF($B393&lt;='Scorecard'!$B$3-7,1,0)</x:f>
        <x:v>1</x:v>
      </x:c>
      <x:c r="E393" s="50" t="n">
        <x:f>IF(COUNTIFS(Events!$B$4:$B$1456,$A393,Events!$C$4:$C$1456,"coach_contact_completed",Events!$D$4:$D$1456,"&gt;="&amp;($B393+0),Events!$D$4:$D$1456,"&lt;="&amp;($B393+7))&gt;0,1,0)</x:f>
        <x:v>0</x:v>
      </x:c>
      <x:c r="F393" s="50" t="n">
        <x:f>IF($B393&lt;='Scorecard'!$B$3-37,1,0)</x:f>
        <x:v>0</x:v>
      </x:c>
      <x:c r="G393" s="50" t="n">
        <x:f>IF(COUNTIFS(Events!$B$4:$B$1456,$A393,Events!$C$4:$C$1456,"day30_checkin_completed",Events!$D$4:$D$1456,"&gt;="&amp;($B393+28),Events!$D$4:$D$1456,"&lt;="&amp;($B393+37))&gt;0,1,0)</x:f>
        <x:v>0</x:v>
      </x:c>
      <x:c r="H393" s="50" t="n">
        <x:f>IF($B393&lt;='Scorecard'!$B$3-74,1,0)</x:f>
        <x:v>0</x:v>
      </x:c>
      <x:c r="I393" s="50" t="n">
        <x:f>IF(COUNTIFS(Events!$B$4:$B$1456,$A393,Events!$C$4:$C$1456,"day60_activity_observed",Events!$D$4:$D$1456,"&gt;="&amp;($B393+60),Events!$D$4:$D$1456,"&lt;="&amp;($B393+74))&gt;0,1,0)</x:f>
        <x:v>0</x:v>
      </x:c>
    </x:row>
    <x:row r="394">
      <x:c r="A394" s="50" t="str">
        <x:f>Members!A394</x:f>
        <x:v>SYN0391</x:v>
      </x:c>
      <x:c r="B394" s="51" t="n">
        <x:f>Members!B394</x:f>
        <x:v>46171</x:v>
      </x:c>
      <x:c r="C394" s="50" t="str">
        <x:f>Members!C394</x:f>
        <x:v>Direct</x:v>
      </x:c>
      <x:c r="D394" s="50" t="n">
        <x:f>IF($B394&lt;='Scorecard'!$B$3-7,1,0)</x:f>
        <x:v>1</x:v>
      </x:c>
      <x:c r="E394" s="50" t="n">
        <x:f>IF(COUNTIFS(Events!$B$4:$B$1456,$A394,Events!$C$4:$C$1456,"coach_contact_completed",Events!$D$4:$D$1456,"&gt;="&amp;($B394+0),Events!$D$4:$D$1456,"&lt;="&amp;($B394+7))&gt;0,1,0)</x:f>
        <x:v>1</x:v>
      </x:c>
      <x:c r="F394" s="50" t="n">
        <x:f>IF($B394&lt;='Scorecard'!$B$3-37,1,0)</x:f>
        <x:v>1</x:v>
      </x:c>
      <x:c r="G394" s="50" t="n">
        <x:f>IF(COUNTIFS(Events!$B$4:$B$1456,$A394,Events!$C$4:$C$1456,"day30_checkin_completed",Events!$D$4:$D$1456,"&gt;="&amp;($B394+28),Events!$D$4:$D$1456,"&lt;="&amp;($B394+37))&gt;0,1,0)</x:f>
        <x:v>1</x:v>
      </x:c>
      <x:c r="H394" s="50" t="n">
        <x:f>IF($B394&lt;='Scorecard'!$B$3-74,1,0)</x:f>
        <x:v>1</x:v>
      </x:c>
      <x:c r="I394" s="50" t="n">
        <x:f>IF(COUNTIFS(Events!$B$4:$B$1456,$A394,Events!$C$4:$C$1456,"day60_activity_observed",Events!$D$4:$D$1456,"&gt;="&amp;($B394+60),Events!$D$4:$D$1456,"&lt;="&amp;($B394+74))&gt;0,1,0)</x:f>
        <x:v>0</x:v>
      </x:c>
    </x:row>
    <x:row r="395">
      <x:c r="A395" s="50" t="str">
        <x:f>Members!A395</x:f>
        <x:v>SYN0392</x:v>
      </x:c>
      <x:c r="B395" s="51" t="n">
        <x:f>Members!B395</x:f>
        <x:v>46065</x:v>
      </x:c>
      <x:c r="C395" s="50" t="str">
        <x:f>Members!C395</x:f>
        <x:v>Direct</x:v>
      </x:c>
      <x:c r="D395" s="50" t="n">
        <x:f>IF($B395&lt;='Scorecard'!$B$3-7,1,0)</x:f>
        <x:v>1</x:v>
      </x:c>
      <x:c r="E395" s="50" t="n">
        <x:f>IF(COUNTIFS(Events!$B$4:$B$1456,$A395,Events!$C$4:$C$1456,"coach_contact_completed",Events!$D$4:$D$1456,"&gt;="&amp;($B395+0),Events!$D$4:$D$1456,"&lt;="&amp;($B395+7))&gt;0,1,0)</x:f>
        <x:v>1</x:v>
      </x:c>
      <x:c r="F395" s="50" t="n">
        <x:f>IF($B395&lt;='Scorecard'!$B$3-37,1,0)</x:f>
        <x:v>1</x:v>
      </x:c>
      <x:c r="G395" s="50" t="n">
        <x:f>IF(COUNTIFS(Events!$B$4:$B$1456,$A395,Events!$C$4:$C$1456,"day30_checkin_completed",Events!$D$4:$D$1456,"&gt;="&amp;($B395+28),Events!$D$4:$D$1456,"&lt;="&amp;($B395+37))&gt;0,1,0)</x:f>
        <x:v>1</x:v>
      </x:c>
      <x:c r="H395" s="50" t="n">
        <x:f>IF($B395&lt;='Scorecard'!$B$3-74,1,0)</x:f>
        <x:v>1</x:v>
      </x:c>
      <x:c r="I395" s="50" t="n">
        <x:f>IF(COUNTIFS(Events!$B$4:$B$1456,$A395,Events!$C$4:$C$1456,"day60_activity_observed",Events!$D$4:$D$1456,"&gt;="&amp;($B395+60),Events!$D$4:$D$1456,"&lt;="&amp;($B395+74))&gt;0,1,0)</x:f>
        <x:v>1</x:v>
      </x:c>
    </x:row>
    <x:row r="396">
      <x:c r="A396" s="50" t="str">
        <x:f>Members!A396</x:f>
        <x:v>SYN0393</x:v>
      </x:c>
      <x:c r="B396" s="51" t="n">
        <x:f>Members!B396</x:f>
        <x:v>46259</x:v>
      </x:c>
      <x:c r="C396" s="50" t="str">
        <x:f>Members!C396</x:f>
        <x:v>Direct</x:v>
      </x:c>
      <x:c r="D396" s="50" t="n">
        <x:f>IF($B396&lt;='Scorecard'!$B$3-7,1,0)</x:f>
        <x:v>1</x:v>
      </x:c>
      <x:c r="E396" s="50" t="n">
        <x:f>IF(COUNTIFS(Events!$B$4:$B$1456,$A396,Events!$C$4:$C$1456,"coach_contact_completed",Events!$D$4:$D$1456,"&gt;="&amp;($B396+0),Events!$D$4:$D$1456,"&lt;="&amp;($B396+7))&gt;0,1,0)</x:f>
        <x:v>0</x:v>
      </x:c>
      <x:c r="F396" s="50" t="n">
        <x:f>IF($B396&lt;='Scorecard'!$B$3-37,1,0)</x:f>
        <x:v>0</x:v>
      </x:c>
      <x:c r="G396" s="50" t="n">
        <x:f>IF(COUNTIFS(Events!$B$4:$B$1456,$A396,Events!$C$4:$C$1456,"day30_checkin_completed",Events!$D$4:$D$1456,"&gt;="&amp;($B396+28),Events!$D$4:$D$1456,"&lt;="&amp;($B396+37))&gt;0,1,0)</x:f>
        <x:v>0</x:v>
      </x:c>
      <x:c r="H396" s="50" t="n">
        <x:f>IF($B396&lt;='Scorecard'!$B$3-74,1,0)</x:f>
        <x:v>0</x:v>
      </x:c>
      <x:c r="I396" s="50" t="n">
        <x:f>IF(COUNTIFS(Events!$B$4:$B$1456,$A396,Events!$C$4:$C$1456,"day60_activity_observed",Events!$D$4:$D$1456,"&gt;="&amp;($B396+60),Events!$D$4:$D$1456,"&lt;="&amp;($B396+74))&gt;0,1,0)</x:f>
        <x:v>0</x:v>
      </x:c>
    </x:row>
    <x:row r="397">
      <x:c r="A397" s="50" t="str">
        <x:f>Members!A397</x:f>
        <x:v>SYN0394</x:v>
      </x:c>
      <x:c r="B397" s="51" t="n">
        <x:f>Members!B397</x:f>
        <x:v>46256</x:v>
      </x:c>
      <x:c r="C397" s="50" t="str">
        <x:f>Members!C397</x:f>
        <x:v>Direct</x:v>
      </x:c>
      <x:c r="D397" s="50" t="n">
        <x:f>IF($B397&lt;='Scorecard'!$B$3-7,1,0)</x:f>
        <x:v>1</x:v>
      </x:c>
      <x:c r="E397" s="50" t="n">
        <x:f>IF(COUNTIFS(Events!$B$4:$B$1456,$A397,Events!$C$4:$C$1456,"coach_contact_completed",Events!$D$4:$D$1456,"&gt;="&amp;($B397+0),Events!$D$4:$D$1456,"&lt;="&amp;($B397+7))&gt;0,1,0)</x:f>
        <x:v>1</x:v>
      </x:c>
      <x:c r="F397" s="50" t="n">
        <x:f>IF($B397&lt;='Scorecard'!$B$3-37,1,0)</x:f>
        <x:v>1</x:v>
      </x:c>
      <x:c r="G397" s="50" t="n">
        <x:f>IF(COUNTIFS(Events!$B$4:$B$1456,$A397,Events!$C$4:$C$1456,"day30_checkin_completed",Events!$D$4:$D$1456,"&gt;="&amp;($B397+28),Events!$D$4:$D$1456,"&lt;="&amp;($B397+37))&gt;0,1,0)</x:f>
        <x:v>0</x:v>
      </x:c>
      <x:c r="H397" s="50" t="n">
        <x:f>IF($B397&lt;='Scorecard'!$B$3-74,1,0)</x:f>
        <x:v>0</x:v>
      </x:c>
      <x:c r="I397" s="50" t="n">
        <x:f>IF(COUNTIFS(Events!$B$4:$B$1456,$A397,Events!$C$4:$C$1456,"day60_activity_observed",Events!$D$4:$D$1456,"&gt;="&amp;($B397+60),Events!$D$4:$D$1456,"&lt;="&amp;($B397+74))&gt;0,1,0)</x:f>
        <x:v>0</x:v>
      </x:c>
    </x:row>
    <x:row r="398">
      <x:c r="A398" s="50" t="str">
        <x:f>Members!A398</x:f>
        <x:v>SYN0395</x:v>
      </x:c>
      <x:c r="B398" s="51" t="n">
        <x:f>Members!B398</x:f>
        <x:v>46039</x:v>
      </x:c>
      <x:c r="C398" s="50" t="str">
        <x:f>Members!C398</x:f>
        <x:v>Direct</x:v>
      </x:c>
      <x:c r="D398" s="50" t="n">
        <x:f>IF($B398&lt;='Scorecard'!$B$3-7,1,0)</x:f>
        <x:v>1</x:v>
      </x:c>
      <x:c r="E398" s="50" t="n">
        <x:f>IF(COUNTIFS(Events!$B$4:$B$1456,$A398,Events!$C$4:$C$1456,"coach_contact_completed",Events!$D$4:$D$1456,"&gt;="&amp;($B398+0),Events!$D$4:$D$1456,"&lt;="&amp;($B398+7))&gt;0,1,0)</x:f>
        <x:v>0</x:v>
      </x:c>
      <x:c r="F398" s="50" t="n">
        <x:f>IF($B398&lt;='Scorecard'!$B$3-37,1,0)</x:f>
        <x:v>1</x:v>
      </x:c>
      <x:c r="G398" s="50" t="n">
        <x:f>IF(COUNTIFS(Events!$B$4:$B$1456,$A398,Events!$C$4:$C$1456,"day30_checkin_completed",Events!$D$4:$D$1456,"&gt;="&amp;($B398+28),Events!$D$4:$D$1456,"&lt;="&amp;($B398+37))&gt;0,1,0)</x:f>
        <x:v>1</x:v>
      </x:c>
      <x:c r="H398" s="50" t="n">
        <x:f>IF($B398&lt;='Scorecard'!$B$3-74,1,0)</x:f>
        <x:v>1</x:v>
      </x:c>
      <x:c r="I398" s="50" t="n">
        <x:f>IF(COUNTIFS(Events!$B$4:$B$1456,$A398,Events!$C$4:$C$1456,"day60_activity_observed",Events!$D$4:$D$1456,"&gt;="&amp;($B398+60),Events!$D$4:$D$1456,"&lt;="&amp;($B398+74))&gt;0,1,0)</x:f>
        <x:v>0</x:v>
      </x:c>
    </x:row>
    <x:row r="399">
      <x:c r="A399" s="50" t="str">
        <x:f>Members!A399</x:f>
        <x:v>SYN0396</x:v>
      </x:c>
      <x:c r="B399" s="51" t="n">
        <x:f>Members!B399</x:f>
        <x:v>46204</x:v>
      </x:c>
      <x:c r="C399" s="50" t="str">
        <x:f>Members!C399</x:f>
        <x:v>Direct</x:v>
      </x:c>
      <x:c r="D399" s="50" t="n">
        <x:f>IF($B399&lt;='Scorecard'!$B$3-7,1,0)</x:f>
        <x:v>1</x:v>
      </x:c>
      <x:c r="E399" s="50" t="n">
        <x:f>IF(COUNTIFS(Events!$B$4:$B$1456,$A399,Events!$C$4:$C$1456,"coach_contact_completed",Events!$D$4:$D$1456,"&gt;="&amp;($B399+0),Events!$D$4:$D$1456,"&lt;="&amp;($B399+7))&gt;0,1,0)</x:f>
        <x:v>0</x:v>
      </x:c>
      <x:c r="F399" s="50" t="n">
        <x:f>IF($B399&lt;='Scorecard'!$B$3-37,1,0)</x:f>
        <x:v>1</x:v>
      </x:c>
      <x:c r="G399" s="50" t="n">
        <x:f>IF(COUNTIFS(Events!$B$4:$B$1456,$A399,Events!$C$4:$C$1456,"day30_checkin_completed",Events!$D$4:$D$1456,"&gt;="&amp;($B399+28),Events!$D$4:$D$1456,"&lt;="&amp;($B399+37))&gt;0,1,0)</x:f>
        <x:v>1</x:v>
      </x:c>
      <x:c r="H399" s="50" t="n">
        <x:f>IF($B399&lt;='Scorecard'!$B$3-74,1,0)</x:f>
        <x:v>1</x:v>
      </x:c>
      <x:c r="I399" s="50" t="n">
        <x:f>IF(COUNTIFS(Events!$B$4:$B$1456,$A399,Events!$C$4:$C$1456,"day60_activity_observed",Events!$D$4:$D$1456,"&gt;="&amp;($B399+60),Events!$D$4:$D$1456,"&lt;="&amp;($B399+74))&gt;0,1,0)</x:f>
        <x:v>1</x:v>
      </x:c>
    </x:row>
    <x:row r="400">
      <x:c r="A400" s="50" t="str">
        <x:f>Members!A400</x:f>
        <x:v>SYN0397</x:v>
      </x:c>
      <x:c r="B400" s="51" t="n">
        <x:f>Members!B400</x:f>
        <x:v>46167</x:v>
      </x:c>
      <x:c r="C400" s="50" t="str">
        <x:f>Members!C400</x:f>
        <x:v>Direct</x:v>
      </x:c>
      <x:c r="D400" s="50" t="n">
        <x:f>IF($B400&lt;='Scorecard'!$B$3-7,1,0)</x:f>
        <x:v>1</x:v>
      </x:c>
      <x:c r="E400" s="50" t="n">
        <x:f>IF(COUNTIFS(Events!$B$4:$B$1456,$A400,Events!$C$4:$C$1456,"coach_contact_completed",Events!$D$4:$D$1456,"&gt;="&amp;($B400+0),Events!$D$4:$D$1456,"&lt;="&amp;($B400+7))&gt;0,1,0)</x:f>
        <x:v>1</x:v>
      </x:c>
      <x:c r="F400" s="50" t="n">
        <x:f>IF($B400&lt;='Scorecard'!$B$3-37,1,0)</x:f>
        <x:v>1</x:v>
      </x:c>
      <x:c r="G400" s="50" t="n">
        <x:f>IF(COUNTIFS(Events!$B$4:$B$1456,$A400,Events!$C$4:$C$1456,"day30_checkin_completed",Events!$D$4:$D$1456,"&gt;="&amp;($B400+28),Events!$D$4:$D$1456,"&lt;="&amp;($B400+37))&gt;0,1,0)</x:f>
        <x:v>1</x:v>
      </x:c>
      <x:c r="H400" s="50" t="n">
        <x:f>IF($B400&lt;='Scorecard'!$B$3-74,1,0)</x:f>
        <x:v>1</x:v>
      </x:c>
      <x:c r="I400" s="50" t="n">
        <x:f>IF(COUNTIFS(Events!$B$4:$B$1456,$A400,Events!$C$4:$C$1456,"day60_activity_observed",Events!$D$4:$D$1456,"&gt;="&amp;($B400+60),Events!$D$4:$D$1456,"&lt;="&amp;($B400+74))&gt;0,1,0)</x:f>
        <x:v>1</x:v>
      </x:c>
    </x:row>
    <x:row r="401">
      <x:c r="A401" s="50" t="str">
        <x:f>Members!A401</x:f>
        <x:v>SYN0398</x:v>
      </x:c>
      <x:c r="B401" s="51" t="n">
        <x:f>Members!B401</x:f>
        <x:v>46258</x:v>
      </x:c>
      <x:c r="C401" s="50" t="str">
        <x:f>Members!C401</x:f>
        <x:v>Direct</x:v>
      </x:c>
      <x:c r="D401" s="50" t="n">
        <x:f>IF($B401&lt;='Scorecard'!$B$3-7,1,0)</x:f>
        <x:v>1</x:v>
      </x:c>
      <x:c r="E401" s="50" t="n">
        <x:f>IF(COUNTIFS(Events!$B$4:$B$1456,$A401,Events!$C$4:$C$1456,"coach_contact_completed",Events!$D$4:$D$1456,"&gt;="&amp;($B401+0),Events!$D$4:$D$1456,"&lt;="&amp;($B401+7))&gt;0,1,0)</x:f>
        <x:v>1</x:v>
      </x:c>
      <x:c r="F401" s="50" t="n">
        <x:f>IF($B401&lt;='Scorecard'!$B$3-37,1,0)</x:f>
        <x:v>1</x:v>
      </x:c>
      <x:c r="G401" s="50" t="n">
        <x:f>IF(COUNTIFS(Events!$B$4:$B$1456,$A401,Events!$C$4:$C$1456,"day30_checkin_completed",Events!$D$4:$D$1456,"&gt;="&amp;($B401+28),Events!$D$4:$D$1456,"&lt;="&amp;($B401+37))&gt;0,1,0)</x:f>
        <x:v>1</x:v>
      </x:c>
      <x:c r="H401" s="50" t="n">
        <x:f>IF($B401&lt;='Scorecard'!$B$3-74,1,0)</x:f>
        <x:v>0</x:v>
      </x:c>
      <x:c r="I401" s="50" t="n">
        <x:f>IF(COUNTIFS(Events!$B$4:$B$1456,$A401,Events!$C$4:$C$1456,"day60_activity_observed",Events!$D$4:$D$1456,"&gt;="&amp;($B401+60),Events!$D$4:$D$1456,"&lt;="&amp;($B401+74))&gt;0,1,0)</x:f>
        <x:v>0</x:v>
      </x:c>
    </x:row>
    <x:row r="402">
      <x:c r="A402" s="50" t="str">
        <x:f>Members!A402</x:f>
        <x:v>SYN0399</x:v>
      </x:c>
      <x:c r="B402" s="51" t="n">
        <x:f>Members!B402</x:f>
        <x:v>46172</x:v>
      </x:c>
      <x:c r="C402" s="50" t="str">
        <x:f>Members!C402</x:f>
        <x:v>Direct</x:v>
      </x:c>
      <x:c r="D402" s="50" t="n">
        <x:f>IF($B402&lt;='Scorecard'!$B$3-7,1,0)</x:f>
        <x:v>1</x:v>
      </x:c>
      <x:c r="E402" s="50" t="n">
        <x:f>IF(COUNTIFS(Events!$B$4:$B$1456,$A402,Events!$C$4:$C$1456,"coach_contact_completed",Events!$D$4:$D$1456,"&gt;="&amp;($B402+0),Events!$D$4:$D$1456,"&lt;="&amp;($B402+7))&gt;0,1,0)</x:f>
        <x:v>1</x:v>
      </x:c>
      <x:c r="F402" s="50" t="n">
        <x:f>IF($B402&lt;='Scorecard'!$B$3-37,1,0)</x:f>
        <x:v>1</x:v>
      </x:c>
      <x:c r="G402" s="50" t="n">
        <x:f>IF(COUNTIFS(Events!$B$4:$B$1456,$A402,Events!$C$4:$C$1456,"day30_checkin_completed",Events!$D$4:$D$1456,"&gt;="&amp;($B402+28),Events!$D$4:$D$1456,"&lt;="&amp;($B402+37))&gt;0,1,0)</x:f>
        <x:v>1</x:v>
      </x:c>
      <x:c r="H402" s="50" t="n">
        <x:f>IF($B402&lt;='Scorecard'!$B$3-74,1,0)</x:f>
        <x:v>1</x:v>
      </x:c>
      <x:c r="I402" s="50" t="n">
        <x:f>IF(COUNTIFS(Events!$B$4:$B$1456,$A402,Events!$C$4:$C$1456,"day60_activity_observed",Events!$D$4:$D$1456,"&gt;="&amp;($B402+60),Events!$D$4:$D$1456,"&lt;="&amp;($B402+74))&gt;0,1,0)</x:f>
        <x:v>1</x:v>
      </x:c>
    </x:row>
    <x:row r="403">
      <x:c r="A403" s="50" t="str">
        <x:f>Members!A403</x:f>
        <x:v>SYN0400</x:v>
      </x:c>
      <x:c r="B403" s="51" t="n">
        <x:f>Members!B403</x:f>
        <x:v>46250</x:v>
      </x:c>
      <x:c r="C403" s="50" t="str">
        <x:f>Members!C403</x:f>
        <x:v>Direct</x:v>
      </x:c>
      <x:c r="D403" s="50" t="n">
        <x:f>IF($B403&lt;='Scorecard'!$B$3-7,1,0)</x:f>
        <x:v>1</x:v>
      </x:c>
      <x:c r="E403" s="50" t="n">
        <x:f>IF(COUNTIFS(Events!$B$4:$B$1456,$A403,Events!$C$4:$C$1456,"coach_contact_completed",Events!$D$4:$D$1456,"&gt;="&amp;($B403+0),Events!$D$4:$D$1456,"&lt;="&amp;($B403+7))&gt;0,1,0)</x:f>
        <x:v>1</x:v>
      </x:c>
      <x:c r="F403" s="50" t="n">
        <x:f>IF($B403&lt;='Scorecard'!$B$3-37,1,0)</x:f>
        <x:v>1</x:v>
      </x:c>
      <x:c r="G403" s="50" t="n">
        <x:f>IF(COUNTIFS(Events!$B$4:$B$1456,$A403,Events!$C$4:$C$1456,"day30_checkin_completed",Events!$D$4:$D$1456,"&gt;="&amp;($B403+28),Events!$D$4:$D$1456,"&lt;="&amp;($B403+37))&gt;0,1,0)</x:f>
        <x:v>1</x:v>
      </x:c>
      <x:c r="H403" s="50" t="n">
        <x:f>IF($B403&lt;='Scorecard'!$B$3-74,1,0)</x:f>
        <x:v>0</x:v>
      </x:c>
      <x:c r="I403" s="50" t="n">
        <x:f>IF(COUNTIFS(Events!$B$4:$B$1456,$A403,Events!$C$4:$C$1456,"day60_activity_observed",Events!$D$4:$D$1456,"&gt;="&amp;($B403+60),Events!$D$4:$D$1456,"&lt;="&amp;($B403+74))&gt;0,1,0)</x:f>
        <x:v>0</x:v>
      </x:c>
    </x:row>
    <x:row r="404">
      <x:c r="A404" s="50" t="str">
        <x:f>Members!A404</x:f>
        <x:v>SYN0401</x:v>
      </x:c>
      <x:c r="B404" s="51" t="n">
        <x:f>Members!B404</x:f>
        <x:v>46145</x:v>
      </x:c>
      <x:c r="C404" s="50" t="str">
        <x:f>Members!C404</x:f>
        <x:v>Direct</x:v>
      </x:c>
      <x:c r="D404" s="50" t="n">
        <x:f>IF($B404&lt;='Scorecard'!$B$3-7,1,0)</x:f>
        <x:v>1</x:v>
      </x:c>
      <x:c r="E404" s="50" t="n">
        <x:f>IF(COUNTIFS(Events!$B$4:$B$1456,$A404,Events!$C$4:$C$1456,"coach_contact_completed",Events!$D$4:$D$1456,"&gt;="&amp;($B404+0),Events!$D$4:$D$1456,"&lt;="&amp;($B404+7))&gt;0,1,0)</x:f>
        <x:v>0</x:v>
      </x:c>
      <x:c r="F404" s="50" t="n">
        <x:f>IF($B404&lt;='Scorecard'!$B$3-37,1,0)</x:f>
        <x:v>1</x:v>
      </x:c>
      <x:c r="G404" s="50" t="n">
        <x:f>IF(COUNTIFS(Events!$B$4:$B$1456,$A404,Events!$C$4:$C$1456,"day30_checkin_completed",Events!$D$4:$D$1456,"&gt;="&amp;($B404+28),Events!$D$4:$D$1456,"&lt;="&amp;($B404+37))&gt;0,1,0)</x:f>
        <x:v>1</x:v>
      </x:c>
      <x:c r="H404" s="50" t="n">
        <x:f>IF($B404&lt;='Scorecard'!$B$3-74,1,0)</x:f>
        <x:v>1</x:v>
      </x:c>
      <x:c r="I404" s="50" t="n">
        <x:f>IF(COUNTIFS(Events!$B$4:$B$1456,$A404,Events!$C$4:$C$1456,"day60_activity_observed",Events!$D$4:$D$1456,"&gt;="&amp;($B404+60),Events!$D$4:$D$1456,"&lt;="&amp;($B404+74))&gt;0,1,0)</x:f>
        <x:v>0</x:v>
      </x:c>
    </x:row>
    <x:row r="405">
      <x:c r="A405" s="50" t="str">
        <x:f>Members!A405</x:f>
        <x:v>SYN0402</x:v>
      </x:c>
      <x:c r="B405" s="51" t="n">
        <x:f>Members!B405</x:f>
        <x:v>46099</x:v>
      </x:c>
      <x:c r="C405" s="50" t="str">
        <x:f>Members!C405</x:f>
        <x:v>Direct</x:v>
      </x:c>
      <x:c r="D405" s="50" t="n">
        <x:f>IF($B405&lt;='Scorecard'!$B$3-7,1,0)</x:f>
        <x:v>1</x:v>
      </x:c>
      <x:c r="E405" s="50" t="n">
        <x:f>IF(COUNTIFS(Events!$B$4:$B$1456,$A405,Events!$C$4:$C$1456,"coach_contact_completed",Events!$D$4:$D$1456,"&gt;="&amp;($B405+0),Events!$D$4:$D$1456,"&lt;="&amp;($B405+7))&gt;0,1,0)</x:f>
        <x:v>0</x:v>
      </x:c>
      <x:c r="F405" s="50" t="n">
        <x:f>IF($B405&lt;='Scorecard'!$B$3-37,1,0)</x:f>
        <x:v>1</x:v>
      </x:c>
      <x:c r="G405" s="50" t="n">
        <x:f>IF(COUNTIFS(Events!$B$4:$B$1456,$A405,Events!$C$4:$C$1456,"day30_checkin_completed",Events!$D$4:$D$1456,"&gt;="&amp;($B405+28),Events!$D$4:$D$1456,"&lt;="&amp;($B405+37))&gt;0,1,0)</x:f>
        <x:v>1</x:v>
      </x:c>
      <x:c r="H405" s="50" t="n">
        <x:f>IF($B405&lt;='Scorecard'!$B$3-74,1,0)</x:f>
        <x:v>1</x:v>
      </x:c>
      <x:c r="I405" s="50" t="n">
        <x:f>IF(COUNTIFS(Events!$B$4:$B$1456,$A405,Events!$C$4:$C$1456,"day60_activity_observed",Events!$D$4:$D$1456,"&gt;="&amp;($B405+60),Events!$D$4:$D$1456,"&lt;="&amp;($B405+74))&gt;0,1,0)</x:f>
        <x:v>0</x:v>
      </x:c>
    </x:row>
    <x:row r="406">
      <x:c r="A406" s="50" t="str">
        <x:f>Members!A406</x:f>
        <x:v>SYN0403</x:v>
      </x:c>
      <x:c r="B406" s="51" t="n">
        <x:f>Members!B406</x:f>
        <x:v>46259</x:v>
      </x:c>
      <x:c r="C406" s="50" t="str">
        <x:f>Members!C406</x:f>
        <x:v>Direct</x:v>
      </x:c>
      <x:c r="D406" s="50" t="n">
        <x:f>IF($B406&lt;='Scorecard'!$B$3-7,1,0)</x:f>
        <x:v>1</x:v>
      </x:c>
      <x:c r="E406" s="50" t="n">
        <x:f>IF(COUNTIFS(Events!$B$4:$B$1456,$A406,Events!$C$4:$C$1456,"coach_contact_completed",Events!$D$4:$D$1456,"&gt;="&amp;($B406+0),Events!$D$4:$D$1456,"&lt;="&amp;($B406+7))&gt;0,1,0)</x:f>
        <x:v>0</x:v>
      </x:c>
      <x:c r="F406" s="50" t="n">
        <x:f>IF($B406&lt;='Scorecard'!$B$3-37,1,0)</x:f>
        <x:v>0</x:v>
      </x:c>
      <x:c r="G406" s="50" t="n">
        <x:f>IF(COUNTIFS(Events!$B$4:$B$1456,$A406,Events!$C$4:$C$1456,"day30_checkin_completed",Events!$D$4:$D$1456,"&gt;="&amp;($B406+28),Events!$D$4:$D$1456,"&lt;="&amp;($B406+37))&gt;0,1,0)</x:f>
        <x:v>1</x:v>
      </x:c>
      <x:c r="H406" s="50" t="n">
        <x:f>IF($B406&lt;='Scorecard'!$B$3-74,1,0)</x:f>
        <x:v>0</x:v>
      </x:c>
      <x:c r="I406" s="50" t="n">
        <x:f>IF(COUNTIFS(Events!$B$4:$B$1456,$A406,Events!$C$4:$C$1456,"day60_activity_observed",Events!$D$4:$D$1456,"&gt;="&amp;($B406+60),Events!$D$4:$D$1456,"&lt;="&amp;($B406+74))&gt;0,1,0)</x:f>
        <x:v>0</x:v>
      </x:c>
    </x:row>
    <x:row r="407">
      <x:c r="A407" s="50" t="str">
        <x:f>Members!A407</x:f>
        <x:v>SYN0404</x:v>
      </x:c>
      <x:c r="B407" s="51" t="n">
        <x:f>Members!B407</x:f>
        <x:v>46247</x:v>
      </x:c>
      <x:c r="C407" s="50" t="str">
        <x:f>Members!C407</x:f>
        <x:v>Direct</x:v>
      </x:c>
      <x:c r="D407" s="50" t="n">
        <x:f>IF($B407&lt;='Scorecard'!$B$3-7,1,0)</x:f>
        <x:v>1</x:v>
      </x:c>
      <x:c r="E407" s="50" t="n">
        <x:f>IF(COUNTIFS(Events!$B$4:$B$1456,$A407,Events!$C$4:$C$1456,"coach_contact_completed",Events!$D$4:$D$1456,"&gt;="&amp;($B407+0),Events!$D$4:$D$1456,"&lt;="&amp;($B407+7))&gt;0,1,0)</x:f>
        <x:v>1</x:v>
      </x:c>
      <x:c r="F407" s="50" t="n">
        <x:f>IF($B407&lt;='Scorecard'!$B$3-37,1,0)</x:f>
        <x:v>1</x:v>
      </x:c>
      <x:c r="G407" s="50" t="n">
        <x:f>IF(COUNTIFS(Events!$B$4:$B$1456,$A407,Events!$C$4:$C$1456,"day30_checkin_completed",Events!$D$4:$D$1456,"&gt;="&amp;($B407+28),Events!$D$4:$D$1456,"&lt;="&amp;($B407+37))&gt;0,1,0)</x:f>
        <x:v>0</x:v>
      </x:c>
      <x:c r="H407" s="50" t="n">
        <x:f>IF($B407&lt;='Scorecard'!$B$3-74,1,0)</x:f>
        <x:v>0</x:v>
      </x:c>
      <x:c r="I407" s="50" t="n">
        <x:f>IF(COUNTIFS(Events!$B$4:$B$1456,$A407,Events!$C$4:$C$1456,"day60_activity_observed",Events!$D$4:$D$1456,"&gt;="&amp;($B407+60),Events!$D$4:$D$1456,"&lt;="&amp;($B407+74))&gt;0,1,0)</x:f>
        <x:v>0</x:v>
      </x:c>
    </x:row>
    <x:row r="408">
      <x:c r="A408" s="50" t="str">
        <x:f>Members!A408</x:f>
        <x:v>SYN0405</x:v>
      </x:c>
      <x:c r="B408" s="51" t="n">
        <x:f>Members!B408</x:f>
        <x:v>46063</x:v>
      </x:c>
      <x:c r="C408" s="50" t="str">
        <x:f>Members!C408</x:f>
        <x:v>Employer</x:v>
      </x:c>
      <x:c r="D408" s="50" t="n">
        <x:f>IF($B408&lt;='Scorecard'!$B$3-7,1,0)</x:f>
        <x:v>1</x:v>
      </x:c>
      <x:c r="E408" s="50" t="n">
        <x:f>IF(COUNTIFS(Events!$B$4:$B$1456,$A408,Events!$C$4:$C$1456,"coach_contact_completed",Events!$D$4:$D$1456,"&gt;="&amp;($B408+0),Events!$D$4:$D$1456,"&lt;="&amp;($B408+7))&gt;0,1,0)</x:f>
        <x:v>1</x:v>
      </x:c>
      <x:c r="F408" s="50" t="n">
        <x:f>IF($B408&lt;='Scorecard'!$B$3-37,1,0)</x:f>
        <x:v>1</x:v>
      </x:c>
      <x:c r="G408" s="50" t="n">
        <x:f>IF(COUNTIFS(Events!$B$4:$B$1456,$A408,Events!$C$4:$C$1456,"day30_checkin_completed",Events!$D$4:$D$1456,"&gt;="&amp;($B408+28),Events!$D$4:$D$1456,"&lt;="&amp;($B408+37))&gt;0,1,0)</x:f>
        <x:v>1</x:v>
      </x:c>
      <x:c r="H408" s="50" t="n">
        <x:f>IF($B408&lt;='Scorecard'!$B$3-74,1,0)</x:f>
        <x:v>1</x:v>
      </x:c>
      <x:c r="I408" s="50" t="n">
        <x:f>IF(COUNTIFS(Events!$B$4:$B$1456,$A408,Events!$C$4:$C$1456,"day60_activity_observed",Events!$D$4:$D$1456,"&gt;="&amp;($B408+60),Events!$D$4:$D$1456,"&lt;="&amp;($B408+74))&gt;0,1,0)</x:f>
        <x:v>1</x:v>
      </x:c>
    </x:row>
    <x:row r="409">
      <x:c r="A409" s="50" t="str">
        <x:f>Members!A409</x:f>
        <x:v>SYN0406</x:v>
      </x:c>
      <x:c r="B409" s="51" t="n">
        <x:f>Members!B409</x:f>
        <x:v>46118</x:v>
      </x:c>
      <x:c r="C409" s="50" t="str">
        <x:f>Members!C409</x:f>
        <x:v>Direct</x:v>
      </x:c>
      <x:c r="D409" s="50" t="n">
        <x:f>IF($B409&lt;='Scorecard'!$B$3-7,1,0)</x:f>
        <x:v>1</x:v>
      </x:c>
      <x:c r="E409" s="50" t="n">
        <x:f>IF(COUNTIFS(Events!$B$4:$B$1456,$A409,Events!$C$4:$C$1456,"coach_contact_completed",Events!$D$4:$D$1456,"&gt;="&amp;($B409+0),Events!$D$4:$D$1456,"&lt;="&amp;($B409+7))&gt;0,1,0)</x:f>
        <x:v>1</x:v>
      </x:c>
      <x:c r="F409" s="50" t="n">
        <x:f>IF($B409&lt;='Scorecard'!$B$3-37,1,0)</x:f>
        <x:v>1</x:v>
      </x:c>
      <x:c r="G409" s="50" t="n">
        <x:f>IF(COUNTIFS(Events!$B$4:$B$1456,$A409,Events!$C$4:$C$1456,"day30_checkin_completed",Events!$D$4:$D$1456,"&gt;="&amp;($B409+28),Events!$D$4:$D$1456,"&lt;="&amp;($B409+37))&gt;0,1,0)</x:f>
        <x:v>1</x:v>
      </x:c>
      <x:c r="H409" s="50" t="n">
        <x:f>IF($B409&lt;='Scorecard'!$B$3-74,1,0)</x:f>
        <x:v>1</x:v>
      </x:c>
      <x:c r="I409" s="50" t="n">
        <x:f>IF(COUNTIFS(Events!$B$4:$B$1456,$A409,Events!$C$4:$C$1456,"day60_activity_observed",Events!$D$4:$D$1456,"&gt;="&amp;($B409+60),Events!$D$4:$D$1456,"&lt;="&amp;($B409+74))&gt;0,1,0)</x:f>
        <x:v>0</x:v>
      </x:c>
    </x:row>
    <x:row r="410">
      <x:c r="A410" s="50" t="str">
        <x:f>Members!A410</x:f>
        <x:v>SYN0407</x:v>
      </x:c>
      <x:c r="B410" s="51" t="n">
        <x:f>Members!B410</x:f>
        <x:v>46237</x:v>
      </x:c>
      <x:c r="C410" s="50" t="str">
        <x:f>Members!C410</x:f>
        <x:v>Direct</x:v>
      </x:c>
      <x:c r="D410" s="50" t="n">
        <x:f>IF($B410&lt;='Scorecard'!$B$3-7,1,0)</x:f>
        <x:v>1</x:v>
      </x:c>
      <x:c r="E410" s="50" t="n">
        <x:f>IF(COUNTIFS(Events!$B$4:$B$1456,$A410,Events!$C$4:$C$1456,"coach_contact_completed",Events!$D$4:$D$1456,"&gt;="&amp;($B410+0),Events!$D$4:$D$1456,"&lt;="&amp;($B410+7))&gt;0,1,0)</x:f>
        <x:v>0</x:v>
      </x:c>
      <x:c r="F410" s="50" t="n">
        <x:f>IF($B410&lt;='Scorecard'!$B$3-37,1,0)</x:f>
        <x:v>1</x:v>
      </x:c>
      <x:c r="G410" s="50" t="n">
        <x:f>IF(COUNTIFS(Events!$B$4:$B$1456,$A410,Events!$C$4:$C$1456,"day30_checkin_completed",Events!$D$4:$D$1456,"&gt;="&amp;($B410+28),Events!$D$4:$D$1456,"&lt;="&amp;($B410+37))&gt;0,1,0)</x:f>
        <x:v>0</x:v>
      </x:c>
      <x:c r="H410" s="50" t="n">
        <x:f>IF($B410&lt;='Scorecard'!$B$3-74,1,0)</x:f>
        <x:v>0</x:v>
      </x:c>
      <x:c r="I410" s="50" t="n">
        <x:f>IF(COUNTIFS(Events!$B$4:$B$1456,$A410,Events!$C$4:$C$1456,"day60_activity_observed",Events!$D$4:$D$1456,"&gt;="&amp;($B410+60),Events!$D$4:$D$1456,"&lt;="&amp;($B410+74))&gt;0,1,0)</x:f>
        <x:v>0</x:v>
      </x:c>
    </x:row>
    <x:row r="411">
      <x:c r="A411" s="50" t="str">
        <x:f>Members!A411</x:f>
        <x:v>SYN0408</x:v>
      </x:c>
      <x:c r="B411" s="51" t="n">
        <x:f>Members!B411</x:f>
        <x:v>46113</x:v>
      </x:c>
      <x:c r="C411" s="50" t="str">
        <x:f>Members!C411</x:f>
        <x:v>Direct</x:v>
      </x:c>
      <x:c r="D411" s="50" t="n">
        <x:f>IF($B411&lt;='Scorecard'!$B$3-7,1,0)</x:f>
        <x:v>1</x:v>
      </x:c>
      <x:c r="E411" s="50" t="n">
        <x:f>IF(COUNTIFS(Events!$B$4:$B$1456,$A411,Events!$C$4:$C$1456,"coach_contact_completed",Events!$D$4:$D$1456,"&gt;="&amp;($B411+0),Events!$D$4:$D$1456,"&lt;="&amp;($B411+7))&gt;0,1,0)</x:f>
        <x:v>1</x:v>
      </x:c>
      <x:c r="F411" s="50" t="n">
        <x:f>IF($B411&lt;='Scorecard'!$B$3-37,1,0)</x:f>
        <x:v>1</x:v>
      </x:c>
      <x:c r="G411" s="50" t="n">
        <x:f>IF(COUNTIFS(Events!$B$4:$B$1456,$A411,Events!$C$4:$C$1456,"day30_checkin_completed",Events!$D$4:$D$1456,"&gt;="&amp;($B411+28),Events!$D$4:$D$1456,"&lt;="&amp;($B411+37))&gt;0,1,0)</x:f>
        <x:v>0</x:v>
      </x:c>
      <x:c r="H411" s="50" t="n">
        <x:f>IF($B411&lt;='Scorecard'!$B$3-74,1,0)</x:f>
        <x:v>1</x:v>
      </x:c>
      <x:c r="I411" s="50" t="n">
        <x:f>IF(COUNTIFS(Events!$B$4:$B$1456,$A411,Events!$C$4:$C$1456,"day60_activity_observed",Events!$D$4:$D$1456,"&gt;="&amp;($B411+60),Events!$D$4:$D$1456,"&lt;="&amp;($B411+74))&gt;0,1,0)</x:f>
        <x:v>1</x:v>
      </x:c>
    </x:row>
    <x:row r="412">
      <x:c r="A412" s="50" t="str">
        <x:f>Members!A412</x:f>
        <x:v>SYN0409</x:v>
      </x:c>
      <x:c r="B412" s="51" t="n">
        <x:f>Members!B412</x:f>
        <x:v>46027</x:v>
      </x:c>
      <x:c r="C412" s="50" t="str">
        <x:f>Members!C412</x:f>
        <x:v>Direct</x:v>
      </x:c>
      <x:c r="D412" s="50" t="n">
        <x:f>IF($B412&lt;='Scorecard'!$B$3-7,1,0)</x:f>
        <x:v>1</x:v>
      </x:c>
      <x:c r="E412" s="50" t="n">
        <x:f>IF(COUNTIFS(Events!$B$4:$B$1456,$A412,Events!$C$4:$C$1456,"coach_contact_completed",Events!$D$4:$D$1456,"&gt;="&amp;($B412+0),Events!$D$4:$D$1456,"&lt;="&amp;($B412+7))&gt;0,1,0)</x:f>
        <x:v>1</x:v>
      </x:c>
      <x:c r="F412" s="50" t="n">
        <x:f>IF($B412&lt;='Scorecard'!$B$3-37,1,0)</x:f>
        <x:v>1</x:v>
      </x:c>
      <x:c r="G412" s="50" t="n">
        <x:f>IF(COUNTIFS(Events!$B$4:$B$1456,$A412,Events!$C$4:$C$1456,"day30_checkin_completed",Events!$D$4:$D$1456,"&gt;="&amp;($B412+28),Events!$D$4:$D$1456,"&lt;="&amp;($B412+37))&gt;0,1,0)</x:f>
        <x:v>1</x:v>
      </x:c>
      <x:c r="H412" s="50" t="n">
        <x:f>IF($B412&lt;='Scorecard'!$B$3-74,1,0)</x:f>
        <x:v>1</x:v>
      </x:c>
      <x:c r="I412" s="50" t="n">
        <x:f>IF(COUNTIFS(Events!$B$4:$B$1456,$A412,Events!$C$4:$C$1456,"day60_activity_observed",Events!$D$4:$D$1456,"&gt;="&amp;($B412+60),Events!$D$4:$D$1456,"&lt;="&amp;($B412+74))&gt;0,1,0)</x:f>
        <x:v>0</x:v>
      </x:c>
    </x:row>
    <x:row r="413">
      <x:c r="A413" s="50" t="str">
        <x:f>Members!A413</x:f>
        <x:v>SYN0410</x:v>
      </x:c>
      <x:c r="B413" s="51" t="n">
        <x:f>Members!B413</x:f>
        <x:v>46216</x:v>
      </x:c>
      <x:c r="C413" s="50" t="str">
        <x:f>Members!C413</x:f>
        <x:v>Direct</x:v>
      </x:c>
      <x:c r="D413" s="50" t="n">
        <x:f>IF($B413&lt;='Scorecard'!$B$3-7,1,0)</x:f>
        <x:v>1</x:v>
      </x:c>
      <x:c r="E413" s="50" t="n">
        <x:f>IF(COUNTIFS(Events!$B$4:$B$1456,$A413,Events!$C$4:$C$1456,"coach_contact_completed",Events!$D$4:$D$1456,"&gt;="&amp;($B413+0),Events!$D$4:$D$1456,"&lt;="&amp;($B413+7))&gt;0,1,0)</x:f>
        <x:v>0</x:v>
      </x:c>
      <x:c r="F413" s="50" t="n">
        <x:f>IF($B413&lt;='Scorecard'!$B$3-37,1,0)</x:f>
        <x:v>1</x:v>
      </x:c>
      <x:c r="G413" s="50" t="n">
        <x:f>IF(COUNTIFS(Events!$B$4:$B$1456,$A413,Events!$C$4:$C$1456,"day30_checkin_completed",Events!$D$4:$D$1456,"&gt;="&amp;($B413+28),Events!$D$4:$D$1456,"&lt;="&amp;($B413+37))&gt;0,1,0)</x:f>
        <x:v>0</x:v>
      </x:c>
      <x:c r="H413" s="50" t="n">
        <x:f>IF($B413&lt;='Scorecard'!$B$3-74,1,0)</x:f>
        <x:v>1</x:v>
      </x:c>
      <x:c r="I413" s="50" t="n">
        <x:f>IF(COUNTIFS(Events!$B$4:$B$1456,$A413,Events!$C$4:$C$1456,"day60_activity_observed",Events!$D$4:$D$1456,"&gt;="&amp;($B413+60),Events!$D$4:$D$1456,"&lt;="&amp;($B413+74))&gt;0,1,0)</x:f>
        <x:v>0</x:v>
      </x:c>
    </x:row>
    <x:row r="414">
      <x:c r="A414" s="50" t="str">
        <x:f>Members!A414</x:f>
        <x:v>SYN0411</x:v>
      </x:c>
      <x:c r="B414" s="51" t="n">
        <x:f>Members!B414</x:f>
        <x:v>46071</x:v>
      </x:c>
      <x:c r="C414" s="50" t="str">
        <x:f>Members!C414</x:f>
        <x:v>Direct</x:v>
      </x:c>
      <x:c r="D414" s="50" t="n">
        <x:f>IF($B414&lt;='Scorecard'!$B$3-7,1,0)</x:f>
        <x:v>1</x:v>
      </x:c>
      <x:c r="E414" s="50" t="n">
        <x:f>IF(COUNTIFS(Events!$B$4:$B$1456,$A414,Events!$C$4:$C$1456,"coach_contact_completed",Events!$D$4:$D$1456,"&gt;="&amp;($B414+0),Events!$D$4:$D$1456,"&lt;="&amp;($B414+7))&gt;0,1,0)</x:f>
        <x:v>1</x:v>
      </x:c>
      <x:c r="F414" s="50" t="n">
        <x:f>IF($B414&lt;='Scorecard'!$B$3-37,1,0)</x:f>
        <x:v>1</x:v>
      </x:c>
      <x:c r="G414" s="50" t="n">
        <x:f>IF(COUNTIFS(Events!$B$4:$B$1456,$A414,Events!$C$4:$C$1456,"day30_checkin_completed",Events!$D$4:$D$1456,"&gt;="&amp;($B414+28),Events!$D$4:$D$1456,"&lt;="&amp;($B414+37))&gt;0,1,0)</x:f>
        <x:v>0</x:v>
      </x:c>
      <x:c r="H414" s="50" t="n">
        <x:f>IF($B414&lt;='Scorecard'!$B$3-74,1,0)</x:f>
        <x:v>1</x:v>
      </x:c>
      <x:c r="I414" s="50" t="n">
        <x:f>IF(COUNTIFS(Events!$B$4:$B$1456,$A414,Events!$C$4:$C$1456,"day60_activity_observed",Events!$D$4:$D$1456,"&gt;="&amp;($B414+60),Events!$D$4:$D$1456,"&lt;="&amp;($B414+74))&gt;0,1,0)</x:f>
        <x:v>0</x:v>
      </x:c>
    </x:row>
    <x:row r="415">
      <x:c r="A415" s="50" t="str">
        <x:f>Members!A415</x:f>
        <x:v>SYN0412</x:v>
      </x:c>
      <x:c r="B415" s="51" t="n">
        <x:f>Members!B415</x:f>
        <x:v>46221</x:v>
      </x:c>
      <x:c r="C415" s="50" t="str">
        <x:f>Members!C415</x:f>
        <x:v>Direct</x:v>
      </x:c>
      <x:c r="D415" s="50" t="n">
        <x:f>IF($B415&lt;='Scorecard'!$B$3-7,1,0)</x:f>
        <x:v>1</x:v>
      </x:c>
      <x:c r="E415" s="50" t="n">
        <x:f>IF(COUNTIFS(Events!$B$4:$B$1456,$A415,Events!$C$4:$C$1456,"coach_contact_completed",Events!$D$4:$D$1456,"&gt;="&amp;($B415+0),Events!$D$4:$D$1456,"&lt;="&amp;($B415+7))&gt;0,1,0)</x:f>
        <x:v>0</x:v>
      </x:c>
      <x:c r="F415" s="50" t="n">
        <x:f>IF($B415&lt;='Scorecard'!$B$3-37,1,0)</x:f>
        <x:v>1</x:v>
      </x:c>
      <x:c r="G415" s="50" t="n">
        <x:f>IF(COUNTIFS(Events!$B$4:$B$1456,$A415,Events!$C$4:$C$1456,"day30_checkin_completed",Events!$D$4:$D$1456,"&gt;="&amp;($B415+28),Events!$D$4:$D$1456,"&lt;="&amp;($B415+37))&gt;0,1,0)</x:f>
        <x:v>0</x:v>
      </x:c>
      <x:c r="H415" s="50" t="n">
        <x:f>IF($B415&lt;='Scorecard'!$B$3-74,1,0)</x:f>
        <x:v>1</x:v>
      </x:c>
      <x:c r="I415" s="50" t="n">
        <x:f>IF(COUNTIFS(Events!$B$4:$B$1456,$A415,Events!$C$4:$C$1456,"day60_activity_observed",Events!$D$4:$D$1456,"&gt;="&amp;($B415+60),Events!$D$4:$D$1456,"&lt;="&amp;($B415+74))&gt;0,1,0)</x:f>
        <x:v>1</x:v>
      </x:c>
    </x:row>
    <x:row r="416">
      <x:c r="A416" s="50" t="str">
        <x:f>Members!A416</x:f>
        <x:v>SYN0413</x:v>
      </x:c>
      <x:c r="B416" s="51" t="n">
        <x:f>Members!B416</x:f>
        <x:v>46166</x:v>
      </x:c>
      <x:c r="C416" s="50" t="str">
        <x:f>Members!C416</x:f>
        <x:v>Direct</x:v>
      </x:c>
      <x:c r="D416" s="50" t="n">
        <x:f>IF($B416&lt;='Scorecard'!$B$3-7,1,0)</x:f>
        <x:v>1</x:v>
      </x:c>
      <x:c r="E416" s="50" t="n">
        <x:f>IF(COUNTIFS(Events!$B$4:$B$1456,$A416,Events!$C$4:$C$1456,"coach_contact_completed",Events!$D$4:$D$1456,"&gt;="&amp;($B416+0),Events!$D$4:$D$1456,"&lt;="&amp;($B416+7))&gt;0,1,0)</x:f>
        <x:v>1</x:v>
      </x:c>
      <x:c r="F416" s="50" t="n">
        <x:f>IF($B416&lt;='Scorecard'!$B$3-37,1,0)</x:f>
        <x:v>1</x:v>
      </x:c>
      <x:c r="G416" s="50" t="n">
        <x:f>IF(COUNTIFS(Events!$B$4:$B$1456,$A416,Events!$C$4:$C$1456,"day30_checkin_completed",Events!$D$4:$D$1456,"&gt;="&amp;($B416+28),Events!$D$4:$D$1456,"&lt;="&amp;($B416+37))&gt;0,1,0)</x:f>
        <x:v>1</x:v>
      </x:c>
      <x:c r="H416" s="50" t="n">
        <x:f>IF($B416&lt;='Scorecard'!$B$3-74,1,0)</x:f>
        <x:v>1</x:v>
      </x:c>
      <x:c r="I416" s="50" t="n">
        <x:f>IF(COUNTIFS(Events!$B$4:$B$1456,$A416,Events!$C$4:$C$1456,"day60_activity_observed",Events!$D$4:$D$1456,"&gt;="&amp;($B416+60),Events!$D$4:$D$1456,"&lt;="&amp;($B416+74))&gt;0,1,0)</x:f>
        <x:v>1</x:v>
      </x:c>
    </x:row>
    <x:row r="417">
      <x:c r="A417" s="50" t="str">
        <x:f>Members!A417</x:f>
        <x:v>SYN0414</x:v>
      </x:c>
      <x:c r="B417" s="51" t="n">
        <x:f>Members!B417</x:f>
        <x:v>46217</x:v>
      </x:c>
      <x:c r="C417" s="50" t="str">
        <x:f>Members!C417</x:f>
        <x:v>Direct</x:v>
      </x:c>
      <x:c r="D417" s="50" t="n">
        <x:f>IF($B417&lt;='Scorecard'!$B$3-7,1,0)</x:f>
        <x:v>1</x:v>
      </x:c>
      <x:c r="E417" s="50" t="n">
        <x:f>IF(COUNTIFS(Events!$B$4:$B$1456,$A417,Events!$C$4:$C$1456,"coach_contact_completed",Events!$D$4:$D$1456,"&gt;="&amp;($B417+0),Events!$D$4:$D$1456,"&lt;="&amp;($B417+7))&gt;0,1,0)</x:f>
        <x:v>0</x:v>
      </x:c>
      <x:c r="F417" s="50" t="n">
        <x:f>IF($B417&lt;='Scorecard'!$B$3-37,1,0)</x:f>
        <x:v>1</x:v>
      </x:c>
      <x:c r="G417" s="50" t="n">
        <x:f>IF(COUNTIFS(Events!$B$4:$B$1456,$A417,Events!$C$4:$C$1456,"day30_checkin_completed",Events!$D$4:$D$1456,"&gt;="&amp;($B417+28),Events!$D$4:$D$1456,"&lt;="&amp;($B417+37))&gt;0,1,0)</x:f>
        <x:v>0</x:v>
      </x:c>
      <x:c r="H417" s="50" t="n">
        <x:f>IF($B417&lt;='Scorecard'!$B$3-74,1,0)</x:f>
        <x:v>1</x:v>
      </x:c>
      <x:c r="I417" s="50" t="n">
        <x:f>IF(COUNTIFS(Events!$B$4:$B$1456,$A417,Events!$C$4:$C$1456,"day60_activity_observed",Events!$D$4:$D$1456,"&gt;="&amp;($B417+60),Events!$D$4:$D$1456,"&lt;="&amp;($B417+74))&gt;0,1,0)</x:f>
        <x:v>1</x:v>
      </x:c>
    </x:row>
    <x:row r="418">
      <x:c r="A418" s="50" t="str">
        <x:f>Members!A418</x:f>
        <x:v>SYN0415</x:v>
      </x:c>
      <x:c r="B418" s="51" t="n">
        <x:f>Members!B418</x:f>
        <x:v>46208</x:v>
      </x:c>
      <x:c r="C418" s="50" t="str">
        <x:f>Members!C418</x:f>
        <x:v>Direct</x:v>
      </x:c>
      <x:c r="D418" s="50" t="n">
        <x:f>IF($B418&lt;='Scorecard'!$B$3-7,1,0)</x:f>
        <x:v>1</x:v>
      </x:c>
      <x:c r="E418" s="50" t="n">
        <x:f>IF(COUNTIFS(Events!$B$4:$B$1456,$A418,Events!$C$4:$C$1456,"coach_contact_completed",Events!$D$4:$D$1456,"&gt;="&amp;($B418+0),Events!$D$4:$D$1456,"&lt;="&amp;($B418+7))&gt;0,1,0)</x:f>
        <x:v>0</x:v>
      </x:c>
      <x:c r="F418" s="50" t="n">
        <x:f>IF($B418&lt;='Scorecard'!$B$3-37,1,0)</x:f>
        <x:v>1</x:v>
      </x:c>
      <x:c r="G418" s="50" t="n">
        <x:f>IF(COUNTIFS(Events!$B$4:$B$1456,$A418,Events!$C$4:$C$1456,"day30_checkin_completed",Events!$D$4:$D$1456,"&gt;="&amp;($B418+28),Events!$D$4:$D$1456,"&lt;="&amp;($B418+37))&gt;0,1,0)</x:f>
        <x:v>0</x:v>
      </x:c>
      <x:c r="H418" s="50" t="n">
        <x:f>IF($B418&lt;='Scorecard'!$B$3-74,1,0)</x:f>
        <x:v>1</x:v>
      </x:c>
      <x:c r="I418" s="50" t="n">
        <x:f>IF(COUNTIFS(Events!$B$4:$B$1456,$A418,Events!$C$4:$C$1456,"day60_activity_observed",Events!$D$4:$D$1456,"&gt;="&amp;($B418+60),Events!$D$4:$D$1456,"&lt;="&amp;($B418+74))&gt;0,1,0)</x:f>
        <x:v>1</x:v>
      </x:c>
    </x:row>
    <x:row r="419">
      <x:c r="A419" s="50" t="str">
        <x:f>Members!A419</x:f>
        <x:v>SYN0416</x:v>
      </x:c>
      <x:c r="B419" s="51" t="n">
        <x:f>Members!B419</x:f>
        <x:v>46033</x:v>
      </x:c>
      <x:c r="C419" s="50" t="str">
        <x:f>Members!C419</x:f>
        <x:v>Direct</x:v>
      </x:c>
      <x:c r="D419" s="50" t="n">
        <x:f>IF($B419&lt;='Scorecard'!$B$3-7,1,0)</x:f>
        <x:v>1</x:v>
      </x:c>
      <x:c r="E419" s="50" t="n">
        <x:f>IF(COUNTIFS(Events!$B$4:$B$1456,$A419,Events!$C$4:$C$1456,"coach_contact_completed",Events!$D$4:$D$1456,"&gt;="&amp;($B419+0),Events!$D$4:$D$1456,"&lt;="&amp;($B419+7))&gt;0,1,0)</x:f>
        <x:v>1</x:v>
      </x:c>
      <x:c r="F419" s="50" t="n">
        <x:f>IF($B419&lt;='Scorecard'!$B$3-37,1,0)</x:f>
        <x:v>1</x:v>
      </x:c>
      <x:c r="G419" s="50" t="n">
        <x:f>IF(COUNTIFS(Events!$B$4:$B$1456,$A419,Events!$C$4:$C$1456,"day30_checkin_completed",Events!$D$4:$D$1456,"&gt;="&amp;($B419+28),Events!$D$4:$D$1456,"&lt;="&amp;($B419+37))&gt;0,1,0)</x:f>
        <x:v>1</x:v>
      </x:c>
      <x:c r="H419" s="50" t="n">
        <x:f>IF($B419&lt;='Scorecard'!$B$3-74,1,0)</x:f>
        <x:v>1</x:v>
      </x:c>
      <x:c r="I419" s="50" t="n">
        <x:f>IF(COUNTIFS(Events!$B$4:$B$1456,$A419,Events!$C$4:$C$1456,"day60_activity_observed",Events!$D$4:$D$1456,"&gt;="&amp;($B419+60),Events!$D$4:$D$1456,"&lt;="&amp;($B419+74))&gt;0,1,0)</x:f>
        <x:v>0</x:v>
      </x:c>
    </x:row>
    <x:row r="420">
      <x:c r="A420" s="50" t="str">
        <x:f>Members!A420</x:f>
        <x:v>SYN0417</x:v>
      </x:c>
      <x:c r="B420" s="51" t="n">
        <x:f>Members!B420</x:f>
        <x:v>46251</x:v>
      </x:c>
      <x:c r="C420" s="50" t="str">
        <x:f>Members!C420</x:f>
        <x:v>Direct</x:v>
      </x:c>
      <x:c r="D420" s="50" t="n">
        <x:f>IF($B420&lt;='Scorecard'!$B$3-7,1,0)</x:f>
        <x:v>1</x:v>
      </x:c>
      <x:c r="E420" s="50" t="n">
        <x:f>IF(COUNTIFS(Events!$B$4:$B$1456,$A420,Events!$C$4:$C$1456,"coach_contact_completed",Events!$D$4:$D$1456,"&gt;="&amp;($B420+0),Events!$D$4:$D$1456,"&lt;="&amp;($B420+7))&gt;0,1,0)</x:f>
        <x:v>1</x:v>
      </x:c>
      <x:c r="F420" s="50" t="n">
        <x:f>IF($B420&lt;='Scorecard'!$B$3-37,1,0)</x:f>
        <x:v>1</x:v>
      </x:c>
      <x:c r="G420" s="50" t="n">
        <x:f>IF(COUNTIFS(Events!$B$4:$B$1456,$A420,Events!$C$4:$C$1456,"day30_checkin_completed",Events!$D$4:$D$1456,"&gt;="&amp;($B420+28),Events!$D$4:$D$1456,"&lt;="&amp;($B420+37))&gt;0,1,0)</x:f>
        <x:v>0</x:v>
      </x:c>
      <x:c r="H420" s="50" t="n">
        <x:f>IF($B420&lt;='Scorecard'!$B$3-74,1,0)</x:f>
        <x:v>0</x:v>
      </x:c>
      <x:c r="I420" s="50" t="n">
        <x:f>IF(COUNTIFS(Events!$B$4:$B$1456,$A420,Events!$C$4:$C$1456,"day60_activity_observed",Events!$D$4:$D$1456,"&gt;="&amp;($B420+60),Events!$D$4:$D$1456,"&lt;="&amp;($B420+74))&gt;0,1,0)</x:f>
        <x:v>0</x:v>
      </x:c>
    </x:row>
    <x:row r="421">
      <x:c r="A421" s="50" t="str">
        <x:f>Members!A421</x:f>
        <x:v>SYN0418</x:v>
      </x:c>
      <x:c r="B421" s="51" t="n">
        <x:f>Members!B421</x:f>
        <x:v>46260</x:v>
      </x:c>
      <x:c r="C421" s="50" t="str">
        <x:f>Members!C421</x:f>
        <x:v>Employer</x:v>
      </x:c>
      <x:c r="D421" s="50" t="n">
        <x:f>IF($B421&lt;='Scorecard'!$B$3-7,1,0)</x:f>
        <x:v>1</x:v>
      </x:c>
      <x:c r="E421" s="50" t="n">
        <x:f>IF(COUNTIFS(Events!$B$4:$B$1456,$A421,Events!$C$4:$C$1456,"coach_contact_completed",Events!$D$4:$D$1456,"&gt;="&amp;($B421+0),Events!$D$4:$D$1456,"&lt;="&amp;($B421+7))&gt;0,1,0)</x:f>
        <x:v>1</x:v>
      </x:c>
      <x:c r="F421" s="50" t="n">
        <x:f>IF($B421&lt;='Scorecard'!$B$3-37,1,0)</x:f>
        <x:v>0</x:v>
      </x:c>
      <x:c r="G421" s="50" t="n">
        <x:f>IF(COUNTIFS(Events!$B$4:$B$1456,$A421,Events!$C$4:$C$1456,"day30_checkin_completed",Events!$D$4:$D$1456,"&gt;="&amp;($B421+28),Events!$D$4:$D$1456,"&lt;="&amp;($B421+37))&gt;0,1,0)</x:f>
        <x:v>1</x:v>
      </x:c>
      <x:c r="H421" s="50" t="n">
        <x:f>IF($B421&lt;='Scorecard'!$B$3-74,1,0)</x:f>
        <x:v>0</x:v>
      </x:c>
      <x:c r="I421" s="50" t="n">
        <x:f>IF(COUNTIFS(Events!$B$4:$B$1456,$A421,Events!$C$4:$C$1456,"day60_activity_observed",Events!$D$4:$D$1456,"&gt;="&amp;($B421+60),Events!$D$4:$D$1456,"&lt;="&amp;($B421+74))&gt;0,1,0)</x:f>
        <x:v>0</x:v>
      </x:c>
    </x:row>
    <x:row r="422">
      <x:c r="A422" s="50" t="str">
        <x:f>Members!A422</x:f>
        <x:v>SYN0419</x:v>
      </x:c>
      <x:c r="B422" s="51" t="n">
        <x:f>Members!B422</x:f>
        <x:v>46242</x:v>
      </x:c>
      <x:c r="C422" s="50" t="str">
        <x:f>Members!C422</x:f>
        <x:v>Direct</x:v>
      </x:c>
      <x:c r="D422" s="50" t="n">
        <x:f>IF($B422&lt;='Scorecard'!$B$3-7,1,0)</x:f>
        <x:v>1</x:v>
      </x:c>
      <x:c r="E422" s="50" t="n">
        <x:f>IF(COUNTIFS(Events!$B$4:$B$1456,$A422,Events!$C$4:$C$1456,"coach_contact_completed",Events!$D$4:$D$1456,"&gt;="&amp;($B422+0),Events!$D$4:$D$1456,"&lt;="&amp;($B422+7))&gt;0,1,0)</x:f>
        <x:v>0</x:v>
      </x:c>
      <x:c r="F422" s="50" t="n">
        <x:f>IF($B422&lt;='Scorecard'!$B$3-37,1,0)</x:f>
        <x:v>1</x:v>
      </x:c>
      <x:c r="G422" s="50" t="n">
        <x:f>IF(COUNTIFS(Events!$B$4:$B$1456,$A422,Events!$C$4:$C$1456,"day30_checkin_completed",Events!$D$4:$D$1456,"&gt;="&amp;($B422+28),Events!$D$4:$D$1456,"&lt;="&amp;($B422+37))&gt;0,1,0)</x:f>
        <x:v>1</x:v>
      </x:c>
      <x:c r="H422" s="50" t="n">
        <x:f>IF($B422&lt;='Scorecard'!$B$3-74,1,0)</x:f>
        <x:v>0</x:v>
      </x:c>
      <x:c r="I422" s="50" t="n">
        <x:f>IF(COUNTIFS(Events!$B$4:$B$1456,$A422,Events!$C$4:$C$1456,"day60_activity_observed",Events!$D$4:$D$1456,"&gt;="&amp;($B422+60),Events!$D$4:$D$1456,"&lt;="&amp;($B422+74))&gt;0,1,0)</x:f>
        <x:v>0</x:v>
      </x:c>
    </x:row>
    <x:row r="423">
      <x:c r="A423" s="50" t="str">
        <x:f>Members!A423</x:f>
        <x:v>SYN0420</x:v>
      </x:c>
      <x:c r="B423" s="51" t="n">
        <x:f>Members!B423</x:f>
        <x:v>46238</x:v>
      </x:c>
      <x:c r="C423" s="50" t="str">
        <x:f>Members!C423</x:f>
        <x:v>Direct</x:v>
      </x:c>
      <x:c r="D423" s="50" t="n">
        <x:f>IF($B423&lt;='Scorecard'!$B$3-7,1,0)</x:f>
        <x:v>1</x:v>
      </x:c>
      <x:c r="E423" s="50" t="n">
        <x:f>IF(COUNTIFS(Events!$B$4:$B$1456,$A423,Events!$C$4:$C$1456,"coach_contact_completed",Events!$D$4:$D$1456,"&gt;="&amp;($B423+0),Events!$D$4:$D$1456,"&lt;="&amp;($B423+7))&gt;0,1,0)</x:f>
        <x:v>1</x:v>
      </x:c>
      <x:c r="F423" s="50" t="n">
        <x:f>IF($B423&lt;='Scorecard'!$B$3-37,1,0)</x:f>
        <x:v>1</x:v>
      </x:c>
      <x:c r="G423" s="50" t="n">
        <x:f>IF(COUNTIFS(Events!$B$4:$B$1456,$A423,Events!$C$4:$C$1456,"day30_checkin_completed",Events!$D$4:$D$1456,"&gt;="&amp;($B423+28),Events!$D$4:$D$1456,"&lt;="&amp;($B423+37))&gt;0,1,0)</x:f>
        <x:v>1</x:v>
      </x:c>
      <x:c r="H423" s="50" t="n">
        <x:f>IF($B423&lt;='Scorecard'!$B$3-74,1,0)</x:f>
        <x:v>0</x:v>
      </x:c>
      <x:c r="I423" s="50" t="n">
        <x:f>IF(COUNTIFS(Events!$B$4:$B$1456,$A423,Events!$C$4:$C$1456,"day60_activity_observed",Events!$D$4:$D$1456,"&gt;="&amp;($B423+60),Events!$D$4:$D$1456,"&lt;="&amp;($B423+74))&gt;0,1,0)</x:f>
        <x:v>0</x:v>
      </x:c>
    </x:row>
    <x:row r="424">
      <x:c r="A424" s="50" t="str">
        <x:f>Members!A424</x:f>
        <x:v>SYN0421</x:v>
      </x:c>
      <x:c r="B424" s="51" t="n">
        <x:f>Members!B424</x:f>
        <x:v>46238</x:v>
      </x:c>
      <x:c r="C424" s="50" t="str">
        <x:f>Members!C424</x:f>
        <x:v>Employer</x:v>
      </x:c>
      <x:c r="D424" s="50" t="n">
        <x:f>IF($B424&lt;='Scorecard'!$B$3-7,1,0)</x:f>
        <x:v>1</x:v>
      </x:c>
      <x:c r="E424" s="50" t="n">
        <x:f>IF(COUNTIFS(Events!$B$4:$B$1456,$A424,Events!$C$4:$C$1456,"coach_contact_completed",Events!$D$4:$D$1456,"&gt;="&amp;($B424+0),Events!$D$4:$D$1456,"&lt;="&amp;($B424+7))&gt;0,1,0)</x:f>
        <x:v>0</x:v>
      </x:c>
      <x:c r="F424" s="50" t="n">
        <x:f>IF($B424&lt;='Scorecard'!$B$3-37,1,0)</x:f>
        <x:v>1</x:v>
      </x:c>
      <x:c r="G424" s="50" t="n">
        <x:f>IF(COUNTIFS(Events!$B$4:$B$1456,$A424,Events!$C$4:$C$1456,"day30_checkin_completed",Events!$D$4:$D$1456,"&gt;="&amp;($B424+28),Events!$D$4:$D$1456,"&lt;="&amp;($B424+37))&gt;0,1,0)</x:f>
        <x:v>1</x:v>
      </x:c>
      <x:c r="H424" s="50" t="n">
        <x:f>IF($B424&lt;='Scorecard'!$B$3-74,1,0)</x:f>
        <x:v>0</x:v>
      </x:c>
      <x:c r="I424" s="50" t="n">
        <x:f>IF(COUNTIFS(Events!$B$4:$B$1456,$A424,Events!$C$4:$C$1456,"day60_activity_observed",Events!$D$4:$D$1456,"&gt;="&amp;($B424+60),Events!$D$4:$D$1456,"&lt;="&amp;($B424+74))&gt;0,1,0)</x:f>
        <x:v>0</x:v>
      </x:c>
    </x:row>
    <x:row r="425">
      <x:c r="A425" s="50" t="str">
        <x:f>Members!A425</x:f>
        <x:v>SYN0422</x:v>
      </x:c>
      <x:c r="B425" s="51" t="n">
        <x:f>Members!B425</x:f>
        <x:v>46220</x:v>
      </x:c>
      <x:c r="C425" s="50" t="str">
        <x:f>Members!C425</x:f>
        <x:v>Direct</x:v>
      </x:c>
      <x:c r="D425" s="50" t="n">
        <x:f>IF($B425&lt;='Scorecard'!$B$3-7,1,0)</x:f>
        <x:v>1</x:v>
      </x:c>
      <x:c r="E425" s="50" t="n">
        <x:f>IF(COUNTIFS(Events!$B$4:$B$1456,$A425,Events!$C$4:$C$1456,"coach_contact_completed",Events!$D$4:$D$1456,"&gt;="&amp;($B425+0),Events!$D$4:$D$1456,"&lt;="&amp;($B425+7))&gt;0,1,0)</x:f>
        <x:v>0</x:v>
      </x:c>
      <x:c r="F425" s="50" t="n">
        <x:f>IF($B425&lt;='Scorecard'!$B$3-37,1,0)</x:f>
        <x:v>1</x:v>
      </x:c>
      <x:c r="G425" s="50" t="n">
        <x:f>IF(COUNTIFS(Events!$B$4:$B$1456,$A425,Events!$C$4:$C$1456,"day30_checkin_completed",Events!$D$4:$D$1456,"&gt;="&amp;($B425+28),Events!$D$4:$D$1456,"&lt;="&amp;($B425+37))&gt;0,1,0)</x:f>
        <x:v>1</x:v>
      </x:c>
      <x:c r="H425" s="50" t="n">
        <x:f>IF($B425&lt;='Scorecard'!$B$3-74,1,0)</x:f>
        <x:v>1</x:v>
      </x:c>
      <x:c r="I425" s="50" t="n">
        <x:f>IF(COUNTIFS(Events!$B$4:$B$1456,$A425,Events!$C$4:$C$1456,"day60_activity_observed",Events!$D$4:$D$1456,"&gt;="&amp;($B425+60),Events!$D$4:$D$1456,"&lt;="&amp;($B425+74))&gt;0,1,0)</x:f>
        <x:v>0</x:v>
      </x:c>
    </x:row>
    <x:row r="426">
      <x:c r="A426" s="50" t="str">
        <x:f>Members!A426</x:f>
        <x:v>SYN0423</x:v>
      </x:c>
      <x:c r="B426" s="51" t="n">
        <x:f>Members!B426</x:f>
        <x:v>46115</x:v>
      </x:c>
      <x:c r="C426" s="50" t="str">
        <x:f>Members!C426</x:f>
        <x:v>Direct</x:v>
      </x:c>
      <x:c r="D426" s="50" t="n">
        <x:f>IF($B426&lt;='Scorecard'!$B$3-7,1,0)</x:f>
        <x:v>1</x:v>
      </x:c>
      <x:c r="E426" s="50" t="n">
        <x:f>IF(COUNTIFS(Events!$B$4:$B$1456,$A426,Events!$C$4:$C$1456,"coach_contact_completed",Events!$D$4:$D$1456,"&gt;="&amp;($B426+0),Events!$D$4:$D$1456,"&lt;="&amp;($B426+7))&gt;0,1,0)</x:f>
        <x:v>1</x:v>
      </x:c>
      <x:c r="F426" s="50" t="n">
        <x:f>IF($B426&lt;='Scorecard'!$B$3-37,1,0)</x:f>
        <x:v>1</x:v>
      </x:c>
      <x:c r="G426" s="50" t="n">
        <x:f>IF(COUNTIFS(Events!$B$4:$B$1456,$A426,Events!$C$4:$C$1456,"day30_checkin_completed",Events!$D$4:$D$1456,"&gt;="&amp;($B426+28),Events!$D$4:$D$1456,"&lt;="&amp;($B426+37))&gt;0,1,0)</x:f>
        <x:v>1</x:v>
      </x:c>
      <x:c r="H426" s="50" t="n">
        <x:f>IF($B426&lt;='Scorecard'!$B$3-74,1,0)</x:f>
        <x:v>1</x:v>
      </x:c>
      <x:c r="I426" s="50" t="n">
        <x:f>IF(COUNTIFS(Events!$B$4:$B$1456,$A426,Events!$C$4:$C$1456,"day60_activity_observed",Events!$D$4:$D$1456,"&gt;="&amp;($B426+60),Events!$D$4:$D$1456,"&lt;="&amp;($B426+74))&gt;0,1,0)</x:f>
        <x:v>1</x:v>
      </x:c>
    </x:row>
    <x:row r="427">
      <x:c r="A427" s="50" t="str">
        <x:f>Members!A427</x:f>
        <x:v>SYN0424</x:v>
      </x:c>
      <x:c r="B427" s="51" t="n">
        <x:f>Members!B427</x:f>
        <x:v>46242</x:v>
      </x:c>
      <x:c r="C427" s="50" t="str">
        <x:f>Members!C427</x:f>
        <x:v>Direct</x:v>
      </x:c>
      <x:c r="D427" s="50" t="n">
        <x:f>IF($B427&lt;='Scorecard'!$B$3-7,1,0)</x:f>
        <x:v>1</x:v>
      </x:c>
      <x:c r="E427" s="50" t="n">
        <x:f>IF(COUNTIFS(Events!$B$4:$B$1456,$A427,Events!$C$4:$C$1456,"coach_contact_completed",Events!$D$4:$D$1456,"&gt;="&amp;($B427+0),Events!$D$4:$D$1456,"&lt;="&amp;($B427+7))&gt;0,1,0)</x:f>
        <x:v>1</x:v>
      </x:c>
      <x:c r="F427" s="50" t="n">
        <x:f>IF($B427&lt;='Scorecard'!$B$3-37,1,0)</x:f>
        <x:v>1</x:v>
      </x:c>
      <x:c r="G427" s="50" t="n">
        <x:f>IF(COUNTIFS(Events!$B$4:$B$1456,$A427,Events!$C$4:$C$1456,"day30_checkin_completed",Events!$D$4:$D$1456,"&gt;="&amp;($B427+28),Events!$D$4:$D$1456,"&lt;="&amp;($B427+37))&gt;0,1,0)</x:f>
        <x:v>0</x:v>
      </x:c>
      <x:c r="H427" s="50" t="n">
        <x:f>IF($B427&lt;='Scorecard'!$B$3-74,1,0)</x:f>
        <x:v>0</x:v>
      </x:c>
      <x:c r="I427" s="50" t="n">
        <x:f>IF(COUNTIFS(Events!$B$4:$B$1456,$A427,Events!$C$4:$C$1456,"day60_activity_observed",Events!$D$4:$D$1456,"&gt;="&amp;($B427+60),Events!$D$4:$D$1456,"&lt;="&amp;($B427+74))&gt;0,1,0)</x:f>
        <x:v>0</x:v>
      </x:c>
    </x:row>
    <x:row r="428">
      <x:c r="A428" s="50" t="str">
        <x:f>Members!A428</x:f>
        <x:v>SYN0425</x:v>
      </x:c>
      <x:c r="B428" s="51" t="n">
        <x:f>Members!B428</x:f>
        <x:v>46157</x:v>
      </x:c>
      <x:c r="C428" s="50" t="str">
        <x:f>Members!C428</x:f>
        <x:v>Direct</x:v>
      </x:c>
      <x:c r="D428" s="50" t="n">
        <x:f>IF($B428&lt;='Scorecard'!$B$3-7,1,0)</x:f>
        <x:v>1</x:v>
      </x:c>
      <x:c r="E428" s="50" t="n">
        <x:f>IF(COUNTIFS(Events!$B$4:$B$1456,$A428,Events!$C$4:$C$1456,"coach_contact_completed",Events!$D$4:$D$1456,"&gt;="&amp;($B428+0),Events!$D$4:$D$1456,"&lt;="&amp;($B428+7))&gt;0,1,0)</x:f>
        <x:v>1</x:v>
      </x:c>
      <x:c r="F428" s="50" t="n">
        <x:f>IF($B428&lt;='Scorecard'!$B$3-37,1,0)</x:f>
        <x:v>1</x:v>
      </x:c>
      <x:c r="G428" s="50" t="n">
        <x:f>IF(COUNTIFS(Events!$B$4:$B$1456,$A428,Events!$C$4:$C$1456,"day30_checkin_completed",Events!$D$4:$D$1456,"&gt;="&amp;($B428+28),Events!$D$4:$D$1456,"&lt;="&amp;($B428+37))&gt;0,1,0)</x:f>
        <x:v>1</x:v>
      </x:c>
      <x:c r="H428" s="50" t="n">
        <x:f>IF($B428&lt;='Scorecard'!$B$3-74,1,0)</x:f>
        <x:v>1</x:v>
      </x:c>
      <x:c r="I428" s="50" t="n">
        <x:f>IF(COUNTIFS(Events!$B$4:$B$1456,$A428,Events!$C$4:$C$1456,"day60_activity_observed",Events!$D$4:$D$1456,"&gt;="&amp;($B428+60),Events!$D$4:$D$1456,"&lt;="&amp;($B428+74))&gt;0,1,0)</x:f>
        <x:v>1</x:v>
      </x:c>
    </x:row>
    <x:row r="429">
      <x:c r="A429" s="50" t="str">
        <x:f>Members!A429</x:f>
        <x:v>SYN0426</x:v>
      </x:c>
      <x:c r="B429" s="51" t="n">
        <x:f>Members!B429</x:f>
        <x:v>46243</x:v>
      </x:c>
      <x:c r="C429" s="50" t="str">
        <x:f>Members!C429</x:f>
        <x:v>Employer</x:v>
      </x:c>
      <x:c r="D429" s="50" t="n">
        <x:f>IF($B429&lt;='Scorecard'!$B$3-7,1,0)</x:f>
        <x:v>1</x:v>
      </x:c>
      <x:c r="E429" s="50" t="n">
        <x:f>IF(COUNTIFS(Events!$B$4:$B$1456,$A429,Events!$C$4:$C$1456,"coach_contact_completed",Events!$D$4:$D$1456,"&gt;="&amp;($B429+0),Events!$D$4:$D$1456,"&lt;="&amp;($B429+7))&gt;0,1,0)</x:f>
        <x:v>0</x:v>
      </x:c>
      <x:c r="F429" s="50" t="n">
        <x:f>IF($B429&lt;='Scorecard'!$B$3-37,1,0)</x:f>
        <x:v>1</x:v>
      </x:c>
      <x:c r="G429" s="50" t="n">
        <x:f>IF(COUNTIFS(Events!$B$4:$B$1456,$A429,Events!$C$4:$C$1456,"day30_checkin_completed",Events!$D$4:$D$1456,"&gt;="&amp;($B429+28),Events!$D$4:$D$1456,"&lt;="&amp;($B429+37))&gt;0,1,0)</x:f>
        <x:v>1</x:v>
      </x:c>
      <x:c r="H429" s="50" t="n">
        <x:f>IF($B429&lt;='Scorecard'!$B$3-74,1,0)</x:f>
        <x:v>0</x:v>
      </x:c>
      <x:c r="I429" s="50" t="n">
        <x:f>IF(COUNTIFS(Events!$B$4:$B$1456,$A429,Events!$C$4:$C$1456,"day60_activity_observed",Events!$D$4:$D$1456,"&gt;="&amp;($B429+60),Events!$D$4:$D$1456,"&lt;="&amp;($B429+74))&gt;0,1,0)</x:f>
        <x:v>0</x:v>
      </x:c>
    </x:row>
    <x:row r="430">
      <x:c r="A430" s="50" t="str">
        <x:f>Members!A430</x:f>
        <x:v>SYN0427</x:v>
      </x:c>
      <x:c r="B430" s="51" t="n">
        <x:f>Members!B430</x:f>
        <x:v>46114</x:v>
      </x:c>
      <x:c r="C430" s="50" t="str">
        <x:f>Members!C430</x:f>
        <x:v>Direct</x:v>
      </x:c>
      <x:c r="D430" s="50" t="n">
        <x:f>IF($B430&lt;='Scorecard'!$B$3-7,1,0)</x:f>
        <x:v>1</x:v>
      </x:c>
      <x:c r="E430" s="50" t="n">
        <x:f>IF(COUNTIFS(Events!$B$4:$B$1456,$A430,Events!$C$4:$C$1456,"coach_contact_completed",Events!$D$4:$D$1456,"&gt;="&amp;($B430+0),Events!$D$4:$D$1456,"&lt;="&amp;($B430+7))&gt;0,1,0)</x:f>
        <x:v>1</x:v>
      </x:c>
      <x:c r="F430" s="50" t="n">
        <x:f>IF($B430&lt;='Scorecard'!$B$3-37,1,0)</x:f>
        <x:v>1</x:v>
      </x:c>
      <x:c r="G430" s="50" t="n">
        <x:f>IF(COUNTIFS(Events!$B$4:$B$1456,$A430,Events!$C$4:$C$1456,"day30_checkin_completed",Events!$D$4:$D$1456,"&gt;="&amp;($B430+28),Events!$D$4:$D$1456,"&lt;="&amp;($B430+37))&gt;0,1,0)</x:f>
        <x:v>0</x:v>
      </x:c>
      <x:c r="H430" s="50" t="n">
        <x:f>IF($B430&lt;='Scorecard'!$B$3-74,1,0)</x:f>
        <x:v>1</x:v>
      </x:c>
      <x:c r="I430" s="50" t="n">
        <x:f>IF(COUNTIFS(Events!$B$4:$B$1456,$A430,Events!$C$4:$C$1456,"day60_activity_observed",Events!$D$4:$D$1456,"&gt;="&amp;($B430+60),Events!$D$4:$D$1456,"&lt;="&amp;($B430+74))&gt;0,1,0)</x:f>
        <x:v>0</x:v>
      </x:c>
    </x:row>
    <x:row r="431">
      <x:c r="A431" s="50" t="str">
        <x:f>Members!A431</x:f>
        <x:v>SYN0428</x:v>
      </x:c>
      <x:c r="B431" s="51" t="n">
        <x:f>Members!B431</x:f>
        <x:v>46152</x:v>
      </x:c>
      <x:c r="C431" s="50" t="str">
        <x:f>Members!C431</x:f>
        <x:v>Direct</x:v>
      </x:c>
      <x:c r="D431" s="50" t="n">
        <x:f>IF($B431&lt;='Scorecard'!$B$3-7,1,0)</x:f>
        <x:v>1</x:v>
      </x:c>
      <x:c r="E431" s="50" t="n">
        <x:f>IF(COUNTIFS(Events!$B$4:$B$1456,$A431,Events!$C$4:$C$1456,"coach_contact_completed",Events!$D$4:$D$1456,"&gt;="&amp;($B431+0),Events!$D$4:$D$1456,"&lt;="&amp;($B431+7))&gt;0,1,0)</x:f>
        <x:v>0</x:v>
      </x:c>
      <x:c r="F431" s="50" t="n">
        <x:f>IF($B431&lt;='Scorecard'!$B$3-37,1,0)</x:f>
        <x:v>1</x:v>
      </x:c>
      <x:c r="G431" s="50" t="n">
        <x:f>IF(COUNTIFS(Events!$B$4:$B$1456,$A431,Events!$C$4:$C$1456,"day30_checkin_completed",Events!$D$4:$D$1456,"&gt;="&amp;($B431+28),Events!$D$4:$D$1456,"&lt;="&amp;($B431+37))&gt;0,1,0)</x:f>
        <x:v>1</x:v>
      </x:c>
      <x:c r="H431" s="50" t="n">
        <x:f>IF($B431&lt;='Scorecard'!$B$3-74,1,0)</x:f>
        <x:v>1</x:v>
      </x:c>
      <x:c r="I431" s="50" t="n">
        <x:f>IF(COUNTIFS(Events!$B$4:$B$1456,$A431,Events!$C$4:$C$1456,"day60_activity_observed",Events!$D$4:$D$1456,"&gt;="&amp;($B431+60),Events!$D$4:$D$1456,"&lt;="&amp;($B431+74))&gt;0,1,0)</x:f>
        <x:v>1</x:v>
      </x:c>
    </x:row>
    <x:row r="432">
      <x:c r="A432" s="50" t="str">
        <x:f>Members!A432</x:f>
        <x:v>SYN0429</x:v>
      </x:c>
      <x:c r="B432" s="51" t="n">
        <x:f>Members!B432</x:f>
        <x:v>46262</x:v>
      </x:c>
      <x:c r="C432" s="50" t="str">
        <x:f>Members!C432</x:f>
        <x:v>Employer</x:v>
      </x:c>
      <x:c r="D432" s="50" t="n">
        <x:f>IF($B432&lt;='Scorecard'!$B$3-7,1,0)</x:f>
        <x:v>1</x:v>
      </x:c>
      <x:c r="E432" s="50" t="n">
        <x:f>IF(COUNTIFS(Events!$B$4:$B$1456,$A432,Events!$C$4:$C$1456,"coach_contact_completed",Events!$D$4:$D$1456,"&gt;="&amp;($B432+0),Events!$D$4:$D$1456,"&lt;="&amp;($B432+7))&gt;0,1,0)</x:f>
        <x:v>0</x:v>
      </x:c>
      <x:c r="F432" s="50" t="n">
        <x:f>IF($B432&lt;='Scorecard'!$B$3-37,1,0)</x:f>
        <x:v>0</x:v>
      </x:c>
      <x:c r="G432" s="50" t="n">
        <x:f>IF(COUNTIFS(Events!$B$4:$B$1456,$A432,Events!$C$4:$C$1456,"day30_checkin_completed",Events!$D$4:$D$1456,"&gt;="&amp;($B432+28),Events!$D$4:$D$1456,"&lt;="&amp;($B432+37))&gt;0,1,0)</x:f>
        <x:v>0</x:v>
      </x:c>
      <x:c r="H432" s="50" t="n">
        <x:f>IF($B432&lt;='Scorecard'!$B$3-74,1,0)</x:f>
        <x:v>0</x:v>
      </x:c>
      <x:c r="I432" s="50" t="n">
        <x:f>IF(COUNTIFS(Events!$B$4:$B$1456,$A432,Events!$C$4:$C$1456,"day60_activity_observed",Events!$D$4:$D$1456,"&gt;="&amp;($B432+60),Events!$D$4:$D$1456,"&lt;="&amp;($B432+74))&gt;0,1,0)</x:f>
        <x:v>0</x:v>
      </x:c>
    </x:row>
    <x:row r="433">
      <x:c r="A433" s="50" t="str">
        <x:f>Members!A433</x:f>
        <x:v>SYN0430</x:v>
      </x:c>
      <x:c r="B433" s="51" t="n">
        <x:f>Members!B433</x:f>
        <x:v>46227</x:v>
      </x:c>
      <x:c r="C433" s="50" t="str">
        <x:f>Members!C433</x:f>
        <x:v>Direct</x:v>
      </x:c>
      <x:c r="D433" s="50" t="n">
        <x:f>IF($B433&lt;='Scorecard'!$B$3-7,1,0)</x:f>
        <x:v>1</x:v>
      </x:c>
      <x:c r="E433" s="50" t="n">
        <x:f>IF(COUNTIFS(Events!$B$4:$B$1456,$A433,Events!$C$4:$C$1456,"coach_contact_completed",Events!$D$4:$D$1456,"&gt;="&amp;($B433+0),Events!$D$4:$D$1456,"&lt;="&amp;($B433+7))&gt;0,1,0)</x:f>
        <x:v>0</x:v>
      </x:c>
      <x:c r="F433" s="50" t="n">
        <x:f>IF($B433&lt;='Scorecard'!$B$3-37,1,0)</x:f>
        <x:v>1</x:v>
      </x:c>
      <x:c r="G433" s="50" t="n">
        <x:f>IF(COUNTIFS(Events!$B$4:$B$1456,$A433,Events!$C$4:$C$1456,"day30_checkin_completed",Events!$D$4:$D$1456,"&gt;="&amp;($B433+28),Events!$D$4:$D$1456,"&lt;="&amp;($B433+37))&gt;0,1,0)</x:f>
        <x:v>1</x:v>
      </x:c>
      <x:c r="H433" s="50" t="n">
        <x:f>IF($B433&lt;='Scorecard'!$B$3-74,1,0)</x:f>
        <x:v>0</x:v>
      </x:c>
      <x:c r="I433" s="50" t="n">
        <x:f>IF(COUNTIFS(Events!$B$4:$B$1456,$A433,Events!$C$4:$C$1456,"day60_activity_observed",Events!$D$4:$D$1456,"&gt;="&amp;($B433+60),Events!$D$4:$D$1456,"&lt;="&amp;($B433+74))&gt;0,1,0)</x:f>
        <x:v>0</x:v>
      </x:c>
    </x:row>
    <x:row r="434">
      <x:c r="A434" s="50" t="str">
        <x:f>Members!A434</x:f>
        <x:v>SYN0431</x:v>
      </x:c>
      <x:c r="B434" s="51" t="n">
        <x:f>Members!B434</x:f>
        <x:v>46186</x:v>
      </x:c>
      <x:c r="C434" s="50" t="str">
        <x:f>Members!C434</x:f>
        <x:v>Direct</x:v>
      </x:c>
      <x:c r="D434" s="50" t="n">
        <x:f>IF($B434&lt;='Scorecard'!$B$3-7,1,0)</x:f>
        <x:v>1</x:v>
      </x:c>
      <x:c r="E434" s="50" t="n">
        <x:f>IF(COUNTIFS(Events!$B$4:$B$1456,$A434,Events!$C$4:$C$1456,"coach_contact_completed",Events!$D$4:$D$1456,"&gt;="&amp;($B434+0),Events!$D$4:$D$1456,"&lt;="&amp;($B434+7))&gt;0,1,0)</x:f>
        <x:v>1</x:v>
      </x:c>
      <x:c r="F434" s="50" t="n">
        <x:f>IF($B434&lt;='Scorecard'!$B$3-37,1,0)</x:f>
        <x:v>1</x:v>
      </x:c>
      <x:c r="G434" s="50" t="n">
        <x:f>IF(COUNTIFS(Events!$B$4:$B$1456,$A434,Events!$C$4:$C$1456,"day30_checkin_completed",Events!$D$4:$D$1456,"&gt;="&amp;($B434+28),Events!$D$4:$D$1456,"&lt;="&amp;($B434+37))&gt;0,1,0)</x:f>
        <x:v>1</x:v>
      </x:c>
      <x:c r="H434" s="50" t="n">
        <x:f>IF($B434&lt;='Scorecard'!$B$3-74,1,0)</x:f>
        <x:v>1</x:v>
      </x:c>
      <x:c r="I434" s="50" t="n">
        <x:f>IF(COUNTIFS(Events!$B$4:$B$1456,$A434,Events!$C$4:$C$1456,"day60_activity_observed",Events!$D$4:$D$1456,"&gt;="&amp;($B434+60),Events!$D$4:$D$1456,"&lt;="&amp;($B434+74))&gt;0,1,0)</x:f>
        <x:v>1</x:v>
      </x:c>
    </x:row>
    <x:row r="435">
      <x:c r="A435" s="50" t="str">
        <x:f>Members!A435</x:f>
        <x:v>SYN0432</x:v>
      </x:c>
      <x:c r="B435" s="51" t="n">
        <x:f>Members!B435</x:f>
        <x:v>46212</x:v>
      </x:c>
      <x:c r="C435" s="50" t="str">
        <x:f>Members!C435</x:f>
        <x:v>Direct</x:v>
      </x:c>
      <x:c r="D435" s="50" t="n">
        <x:f>IF($B435&lt;='Scorecard'!$B$3-7,1,0)</x:f>
        <x:v>1</x:v>
      </x:c>
      <x:c r="E435" s="50" t="n">
        <x:f>IF(COUNTIFS(Events!$B$4:$B$1456,$A435,Events!$C$4:$C$1456,"coach_contact_completed",Events!$D$4:$D$1456,"&gt;="&amp;($B435+0),Events!$D$4:$D$1456,"&lt;="&amp;($B435+7))&gt;0,1,0)</x:f>
        <x:v>0</x:v>
      </x:c>
      <x:c r="F435" s="50" t="n">
        <x:f>IF($B435&lt;='Scorecard'!$B$3-37,1,0)</x:f>
        <x:v>1</x:v>
      </x:c>
      <x:c r="G435" s="50" t="n">
        <x:f>IF(COUNTIFS(Events!$B$4:$B$1456,$A435,Events!$C$4:$C$1456,"day30_checkin_completed",Events!$D$4:$D$1456,"&gt;="&amp;($B435+28),Events!$D$4:$D$1456,"&lt;="&amp;($B435+37))&gt;0,1,0)</x:f>
        <x:v>1</x:v>
      </x:c>
      <x:c r="H435" s="50" t="n">
        <x:f>IF($B435&lt;='Scorecard'!$B$3-74,1,0)</x:f>
        <x:v>1</x:v>
      </x:c>
      <x:c r="I435" s="50" t="n">
        <x:f>IF(COUNTIFS(Events!$B$4:$B$1456,$A435,Events!$C$4:$C$1456,"day60_activity_observed",Events!$D$4:$D$1456,"&gt;="&amp;($B435+60),Events!$D$4:$D$1456,"&lt;="&amp;($B435+74))&gt;0,1,0)</x:f>
        <x:v>0</x:v>
      </x:c>
    </x:row>
    <x:row r="436">
      <x:c r="A436" s="50" t="str">
        <x:f>Members!A436</x:f>
        <x:v>SYN0433</x:v>
      </x:c>
      <x:c r="B436" s="51" t="n">
        <x:f>Members!B436</x:f>
        <x:v>46171</x:v>
      </x:c>
      <x:c r="C436" s="50" t="str">
        <x:f>Members!C436</x:f>
        <x:v>Direct</x:v>
      </x:c>
      <x:c r="D436" s="50" t="n">
        <x:f>IF($B436&lt;='Scorecard'!$B$3-7,1,0)</x:f>
        <x:v>1</x:v>
      </x:c>
      <x:c r="E436" s="50" t="n">
        <x:f>IF(COUNTIFS(Events!$B$4:$B$1456,$A436,Events!$C$4:$C$1456,"coach_contact_completed",Events!$D$4:$D$1456,"&gt;="&amp;($B436+0),Events!$D$4:$D$1456,"&lt;="&amp;($B436+7))&gt;0,1,0)</x:f>
        <x:v>0</x:v>
      </x:c>
      <x:c r="F436" s="50" t="n">
        <x:f>IF($B436&lt;='Scorecard'!$B$3-37,1,0)</x:f>
        <x:v>1</x:v>
      </x:c>
      <x:c r="G436" s="50" t="n">
        <x:f>IF(COUNTIFS(Events!$B$4:$B$1456,$A436,Events!$C$4:$C$1456,"day30_checkin_completed",Events!$D$4:$D$1456,"&gt;="&amp;($B436+28),Events!$D$4:$D$1456,"&lt;="&amp;($B436+37))&gt;0,1,0)</x:f>
        <x:v>1</x:v>
      </x:c>
      <x:c r="H436" s="50" t="n">
        <x:f>IF($B436&lt;='Scorecard'!$B$3-74,1,0)</x:f>
        <x:v>1</x:v>
      </x:c>
      <x:c r="I436" s="50" t="n">
        <x:f>IF(COUNTIFS(Events!$B$4:$B$1456,$A436,Events!$C$4:$C$1456,"day60_activity_observed",Events!$D$4:$D$1456,"&gt;="&amp;($B436+60),Events!$D$4:$D$1456,"&lt;="&amp;($B436+74))&gt;0,1,0)</x:f>
        <x:v>1</x:v>
      </x:c>
    </x:row>
    <x:row r="437">
      <x:c r="A437" s="50" t="str">
        <x:f>Members!A437</x:f>
        <x:v>SYN0434</x:v>
      </x:c>
      <x:c r="B437" s="51" t="n">
        <x:f>Members!B437</x:f>
        <x:v>46172</x:v>
      </x:c>
      <x:c r="C437" s="50" t="str">
        <x:f>Members!C437</x:f>
        <x:v>Employer</x:v>
      </x:c>
      <x:c r="D437" s="50" t="n">
        <x:f>IF($B437&lt;='Scorecard'!$B$3-7,1,0)</x:f>
        <x:v>1</x:v>
      </x:c>
      <x:c r="E437" s="50" t="n">
        <x:f>IF(COUNTIFS(Events!$B$4:$B$1456,$A437,Events!$C$4:$C$1456,"coach_contact_completed",Events!$D$4:$D$1456,"&gt;="&amp;($B437+0),Events!$D$4:$D$1456,"&lt;="&amp;($B437+7))&gt;0,1,0)</x:f>
        <x:v>1</x:v>
      </x:c>
      <x:c r="F437" s="50" t="n">
        <x:f>IF($B437&lt;='Scorecard'!$B$3-37,1,0)</x:f>
        <x:v>1</x:v>
      </x:c>
      <x:c r="G437" s="50" t="n">
        <x:f>IF(COUNTIFS(Events!$B$4:$B$1456,$A437,Events!$C$4:$C$1456,"day30_checkin_completed",Events!$D$4:$D$1456,"&gt;="&amp;($B437+28),Events!$D$4:$D$1456,"&lt;="&amp;($B437+37))&gt;0,1,0)</x:f>
        <x:v>1</x:v>
      </x:c>
      <x:c r="H437" s="50" t="n">
        <x:f>IF($B437&lt;='Scorecard'!$B$3-74,1,0)</x:f>
        <x:v>1</x:v>
      </x:c>
      <x:c r="I437" s="50" t="n">
        <x:f>IF(COUNTIFS(Events!$B$4:$B$1456,$A437,Events!$C$4:$C$1456,"day60_activity_observed",Events!$D$4:$D$1456,"&gt;="&amp;($B437+60),Events!$D$4:$D$1456,"&lt;="&amp;($B437+74))&gt;0,1,0)</x:f>
        <x:v>1</x:v>
      </x:c>
    </x:row>
    <x:row r="438">
      <x:c r="A438" s="50" t="str">
        <x:f>Members!A438</x:f>
        <x:v>SYN0435</x:v>
      </x:c>
      <x:c r="B438" s="51" t="n">
        <x:f>Members!B438</x:f>
        <x:v>46244</x:v>
      </x:c>
      <x:c r="C438" s="50" t="str">
        <x:f>Members!C438</x:f>
        <x:v>Direct</x:v>
      </x:c>
      <x:c r="D438" s="50" t="n">
        <x:f>IF($B438&lt;='Scorecard'!$B$3-7,1,0)</x:f>
        <x:v>1</x:v>
      </x:c>
      <x:c r="E438" s="50" t="n">
        <x:f>IF(COUNTIFS(Events!$B$4:$B$1456,$A438,Events!$C$4:$C$1456,"coach_contact_completed",Events!$D$4:$D$1456,"&gt;="&amp;($B438+0),Events!$D$4:$D$1456,"&lt;="&amp;($B438+7))&gt;0,1,0)</x:f>
        <x:v>1</x:v>
      </x:c>
      <x:c r="F438" s="50" t="n">
        <x:f>IF($B438&lt;='Scorecard'!$B$3-37,1,0)</x:f>
        <x:v>1</x:v>
      </x:c>
      <x:c r="G438" s="50" t="n">
        <x:f>IF(COUNTIFS(Events!$B$4:$B$1456,$A438,Events!$C$4:$C$1456,"day30_checkin_completed",Events!$D$4:$D$1456,"&gt;="&amp;($B438+28),Events!$D$4:$D$1456,"&lt;="&amp;($B438+37))&gt;0,1,0)</x:f>
        <x:v>0</x:v>
      </x:c>
      <x:c r="H438" s="50" t="n">
        <x:f>IF($B438&lt;='Scorecard'!$B$3-74,1,0)</x:f>
        <x:v>0</x:v>
      </x:c>
      <x:c r="I438" s="50" t="n">
        <x:f>IF(COUNTIFS(Events!$B$4:$B$1456,$A438,Events!$C$4:$C$1456,"day60_activity_observed",Events!$D$4:$D$1456,"&gt;="&amp;($B438+60),Events!$D$4:$D$1456,"&lt;="&amp;($B438+74))&gt;0,1,0)</x:f>
        <x:v>0</x:v>
      </x:c>
    </x:row>
    <x:row r="439">
      <x:c r="A439" s="50" t="str">
        <x:f>Members!A439</x:f>
        <x:v>SYN0436</x:v>
      </x:c>
      <x:c r="B439" s="51" t="n">
        <x:f>Members!B439</x:f>
        <x:v>46139</x:v>
      </x:c>
      <x:c r="C439" s="50" t="str">
        <x:f>Members!C439</x:f>
        <x:v>Direct</x:v>
      </x:c>
      <x:c r="D439" s="50" t="n">
        <x:f>IF($B439&lt;='Scorecard'!$B$3-7,1,0)</x:f>
        <x:v>1</x:v>
      </x:c>
      <x:c r="E439" s="50" t="n">
        <x:f>IF(COUNTIFS(Events!$B$4:$B$1456,$A439,Events!$C$4:$C$1456,"coach_contact_completed",Events!$D$4:$D$1456,"&gt;="&amp;($B439+0),Events!$D$4:$D$1456,"&lt;="&amp;($B439+7))&gt;0,1,0)</x:f>
        <x:v>1</x:v>
      </x:c>
      <x:c r="F439" s="50" t="n">
        <x:f>IF($B439&lt;='Scorecard'!$B$3-37,1,0)</x:f>
        <x:v>1</x:v>
      </x:c>
      <x:c r="G439" s="50" t="n">
        <x:f>IF(COUNTIFS(Events!$B$4:$B$1456,$A439,Events!$C$4:$C$1456,"day30_checkin_completed",Events!$D$4:$D$1456,"&gt;="&amp;($B439+28),Events!$D$4:$D$1456,"&lt;="&amp;($B439+37))&gt;0,1,0)</x:f>
        <x:v>1</x:v>
      </x:c>
      <x:c r="H439" s="50" t="n">
        <x:f>IF($B439&lt;='Scorecard'!$B$3-74,1,0)</x:f>
        <x:v>1</x:v>
      </x:c>
      <x:c r="I439" s="50" t="n">
        <x:f>IF(COUNTIFS(Events!$B$4:$B$1456,$A439,Events!$C$4:$C$1456,"day60_activity_observed",Events!$D$4:$D$1456,"&gt;="&amp;($B439+60),Events!$D$4:$D$1456,"&lt;="&amp;($B439+74))&gt;0,1,0)</x:f>
        <x:v>1</x:v>
      </x:c>
    </x:row>
    <x:row r="440">
      <x:c r="A440" s="50" t="str">
        <x:f>Members!A440</x:f>
        <x:v>SYN0437</x:v>
      </x:c>
      <x:c r="B440" s="51" t="n">
        <x:f>Members!B440</x:f>
        <x:v>46054</x:v>
      </x:c>
      <x:c r="C440" s="50" t="str">
        <x:f>Members!C440</x:f>
        <x:v>Direct</x:v>
      </x:c>
      <x:c r="D440" s="50" t="n">
        <x:f>IF($B440&lt;='Scorecard'!$B$3-7,1,0)</x:f>
        <x:v>1</x:v>
      </x:c>
      <x:c r="E440" s="50" t="n">
        <x:f>IF(COUNTIFS(Events!$B$4:$B$1456,$A440,Events!$C$4:$C$1456,"coach_contact_completed",Events!$D$4:$D$1456,"&gt;="&amp;($B440+0),Events!$D$4:$D$1456,"&lt;="&amp;($B440+7))&gt;0,1,0)</x:f>
        <x:v>1</x:v>
      </x:c>
      <x:c r="F440" s="50" t="n">
        <x:f>IF($B440&lt;='Scorecard'!$B$3-37,1,0)</x:f>
        <x:v>1</x:v>
      </x:c>
      <x:c r="G440" s="50" t="n">
        <x:f>IF(COUNTIFS(Events!$B$4:$B$1456,$A440,Events!$C$4:$C$1456,"day30_checkin_completed",Events!$D$4:$D$1456,"&gt;="&amp;($B440+28),Events!$D$4:$D$1456,"&lt;="&amp;($B440+37))&gt;0,1,0)</x:f>
        <x:v>1</x:v>
      </x:c>
      <x:c r="H440" s="50" t="n">
        <x:f>IF($B440&lt;='Scorecard'!$B$3-74,1,0)</x:f>
        <x:v>1</x:v>
      </x:c>
      <x:c r="I440" s="50" t="n">
        <x:f>IF(COUNTIFS(Events!$B$4:$B$1456,$A440,Events!$C$4:$C$1456,"day60_activity_observed",Events!$D$4:$D$1456,"&gt;="&amp;($B440+60),Events!$D$4:$D$1456,"&lt;="&amp;($B440+74))&gt;0,1,0)</x:f>
        <x:v>0</x:v>
      </x:c>
    </x:row>
    <x:row r="441">
      <x:c r="A441" s="50" t="str">
        <x:f>Members!A441</x:f>
        <x:v>SYN0438</x:v>
      </x:c>
      <x:c r="B441" s="51" t="n">
        <x:f>Members!B441</x:f>
        <x:v>46187</x:v>
      </x:c>
      <x:c r="C441" s="50" t="str">
        <x:f>Members!C441</x:f>
        <x:v>Employer</x:v>
      </x:c>
      <x:c r="D441" s="50" t="n">
        <x:f>IF($B441&lt;='Scorecard'!$B$3-7,1,0)</x:f>
        <x:v>1</x:v>
      </x:c>
      <x:c r="E441" s="50" t="n">
        <x:f>IF(COUNTIFS(Events!$B$4:$B$1456,$A441,Events!$C$4:$C$1456,"coach_contact_completed",Events!$D$4:$D$1456,"&gt;="&amp;($B441+0),Events!$D$4:$D$1456,"&lt;="&amp;($B441+7))&gt;0,1,0)</x:f>
        <x:v>0</x:v>
      </x:c>
      <x:c r="F441" s="50" t="n">
        <x:f>IF($B441&lt;='Scorecard'!$B$3-37,1,0)</x:f>
        <x:v>1</x:v>
      </x:c>
      <x:c r="G441" s="50" t="n">
        <x:f>IF(COUNTIFS(Events!$B$4:$B$1456,$A441,Events!$C$4:$C$1456,"day30_checkin_completed",Events!$D$4:$D$1456,"&gt;="&amp;($B441+28),Events!$D$4:$D$1456,"&lt;="&amp;($B441+37))&gt;0,1,0)</x:f>
        <x:v>0</x:v>
      </x:c>
      <x:c r="H441" s="50" t="n">
        <x:f>IF($B441&lt;='Scorecard'!$B$3-74,1,0)</x:f>
        <x:v>1</x:v>
      </x:c>
      <x:c r="I441" s="50" t="n">
        <x:f>IF(COUNTIFS(Events!$B$4:$B$1456,$A441,Events!$C$4:$C$1456,"day60_activity_observed",Events!$D$4:$D$1456,"&gt;="&amp;($B441+60),Events!$D$4:$D$1456,"&lt;="&amp;($B441+74))&gt;0,1,0)</x:f>
        <x:v>1</x:v>
      </x:c>
    </x:row>
    <x:row r="442">
      <x:c r="A442" s="50" t="str">
        <x:f>Members!A442</x:f>
        <x:v>SYN0439</x:v>
      </x:c>
      <x:c r="B442" s="51" t="n">
        <x:f>Members!B442</x:f>
        <x:v>46143</x:v>
      </x:c>
      <x:c r="C442" s="50" t="str">
        <x:f>Members!C442</x:f>
        <x:v>Direct</x:v>
      </x:c>
      <x:c r="D442" s="50" t="n">
        <x:f>IF($B442&lt;='Scorecard'!$B$3-7,1,0)</x:f>
        <x:v>1</x:v>
      </x:c>
      <x:c r="E442" s="50" t="n">
        <x:f>IF(COUNTIFS(Events!$B$4:$B$1456,$A442,Events!$C$4:$C$1456,"coach_contact_completed",Events!$D$4:$D$1456,"&gt;="&amp;($B442+0),Events!$D$4:$D$1456,"&lt;="&amp;($B442+7))&gt;0,1,0)</x:f>
        <x:v>0</x:v>
      </x:c>
      <x:c r="F442" s="50" t="n">
        <x:f>IF($B442&lt;='Scorecard'!$B$3-37,1,0)</x:f>
        <x:v>1</x:v>
      </x:c>
      <x:c r="G442" s="50" t="n">
        <x:f>IF(COUNTIFS(Events!$B$4:$B$1456,$A442,Events!$C$4:$C$1456,"day30_checkin_completed",Events!$D$4:$D$1456,"&gt;="&amp;($B442+28),Events!$D$4:$D$1456,"&lt;="&amp;($B442+37))&gt;0,1,0)</x:f>
        <x:v>1</x:v>
      </x:c>
      <x:c r="H442" s="50" t="n">
        <x:f>IF($B442&lt;='Scorecard'!$B$3-74,1,0)</x:f>
        <x:v>1</x:v>
      </x:c>
      <x:c r="I442" s="50" t="n">
        <x:f>IF(COUNTIFS(Events!$B$4:$B$1456,$A442,Events!$C$4:$C$1456,"day60_activity_observed",Events!$D$4:$D$1456,"&gt;="&amp;($B442+60),Events!$D$4:$D$1456,"&lt;="&amp;($B442+74))&gt;0,1,0)</x:f>
        <x:v>0</x:v>
      </x:c>
    </x:row>
    <x:row r="443">
      <x:c r="A443" s="50" t="str">
        <x:f>Members!A443</x:f>
        <x:v>SYN0440</x:v>
      </x:c>
      <x:c r="B443" s="51" t="n">
        <x:f>Members!B443</x:f>
        <x:v>46136</x:v>
      </x:c>
      <x:c r="C443" s="50" t="str">
        <x:f>Members!C443</x:f>
        <x:v>Direct</x:v>
      </x:c>
      <x:c r="D443" s="50" t="n">
        <x:f>IF($B443&lt;='Scorecard'!$B$3-7,1,0)</x:f>
        <x:v>1</x:v>
      </x:c>
      <x:c r="E443" s="50" t="n">
        <x:f>IF(COUNTIFS(Events!$B$4:$B$1456,$A443,Events!$C$4:$C$1456,"coach_contact_completed",Events!$D$4:$D$1456,"&gt;="&amp;($B443+0),Events!$D$4:$D$1456,"&lt;="&amp;($B443+7))&gt;0,1,0)</x:f>
        <x:v>0</x:v>
      </x:c>
      <x:c r="F443" s="50" t="n">
        <x:f>IF($B443&lt;='Scorecard'!$B$3-37,1,0)</x:f>
        <x:v>1</x:v>
      </x:c>
      <x:c r="G443" s="50" t="n">
        <x:f>IF(COUNTIFS(Events!$B$4:$B$1456,$A443,Events!$C$4:$C$1456,"day30_checkin_completed",Events!$D$4:$D$1456,"&gt;="&amp;($B443+28),Events!$D$4:$D$1456,"&lt;="&amp;($B443+37))&gt;0,1,0)</x:f>
        <x:v>1</x:v>
      </x:c>
      <x:c r="H443" s="50" t="n">
        <x:f>IF($B443&lt;='Scorecard'!$B$3-74,1,0)</x:f>
        <x:v>1</x:v>
      </x:c>
      <x:c r="I443" s="50" t="n">
        <x:f>IF(COUNTIFS(Events!$B$4:$B$1456,$A443,Events!$C$4:$C$1456,"day60_activity_observed",Events!$D$4:$D$1456,"&gt;="&amp;($B443+60),Events!$D$4:$D$1456,"&lt;="&amp;($B443+74))&gt;0,1,0)</x:f>
        <x:v>1</x:v>
      </x:c>
    </x:row>
    <x:row r="444">
      <x:c r="A444" s="50" t="str">
        <x:f>Members!A444</x:f>
        <x:v>SYN0441</x:v>
      </x:c>
      <x:c r="B444" s="51" t="n">
        <x:f>Members!B444</x:f>
        <x:v>46197</x:v>
      </x:c>
      <x:c r="C444" s="50" t="str">
        <x:f>Members!C444</x:f>
        <x:v>Direct</x:v>
      </x:c>
      <x:c r="D444" s="50" t="n">
        <x:f>IF($B444&lt;='Scorecard'!$B$3-7,1,0)</x:f>
        <x:v>1</x:v>
      </x:c>
      <x:c r="E444" s="50" t="n">
        <x:f>IF(COUNTIFS(Events!$B$4:$B$1456,$A444,Events!$C$4:$C$1456,"coach_contact_completed",Events!$D$4:$D$1456,"&gt;="&amp;($B444+0),Events!$D$4:$D$1456,"&lt;="&amp;($B444+7))&gt;0,1,0)</x:f>
        <x:v>0</x:v>
      </x:c>
      <x:c r="F444" s="50" t="n">
        <x:f>IF($B444&lt;='Scorecard'!$B$3-37,1,0)</x:f>
        <x:v>1</x:v>
      </x:c>
      <x:c r="G444" s="50" t="n">
        <x:f>IF(COUNTIFS(Events!$B$4:$B$1456,$A444,Events!$C$4:$C$1456,"day30_checkin_completed",Events!$D$4:$D$1456,"&gt;="&amp;($B444+28),Events!$D$4:$D$1456,"&lt;="&amp;($B444+37))&gt;0,1,0)</x:f>
        <x:v>0</x:v>
      </x:c>
      <x:c r="H444" s="50" t="n">
        <x:f>IF($B444&lt;='Scorecard'!$B$3-74,1,0)</x:f>
        <x:v>1</x:v>
      </x:c>
      <x:c r="I444" s="50" t="n">
        <x:f>IF(COUNTIFS(Events!$B$4:$B$1456,$A444,Events!$C$4:$C$1456,"day60_activity_observed",Events!$D$4:$D$1456,"&gt;="&amp;($B444+60),Events!$D$4:$D$1456,"&lt;="&amp;($B444+74))&gt;0,1,0)</x:f>
        <x:v>1</x:v>
      </x:c>
    </x:row>
    <x:row r="445">
      <x:c r="A445" s="50" t="str">
        <x:f>Members!A445</x:f>
        <x:v>SYN0442</x:v>
      </x:c>
      <x:c r="B445" s="51" t="n">
        <x:f>Members!B445</x:f>
        <x:v>46209</x:v>
      </x:c>
      <x:c r="C445" s="50" t="str">
        <x:f>Members!C445</x:f>
        <x:v>Direct</x:v>
      </x:c>
      <x:c r="D445" s="50" t="n">
        <x:f>IF($B445&lt;='Scorecard'!$B$3-7,1,0)</x:f>
        <x:v>1</x:v>
      </x:c>
      <x:c r="E445" s="50" t="n">
        <x:f>IF(COUNTIFS(Events!$B$4:$B$1456,$A445,Events!$C$4:$C$1456,"coach_contact_completed",Events!$D$4:$D$1456,"&gt;="&amp;($B445+0),Events!$D$4:$D$1456,"&lt;="&amp;($B445+7))&gt;0,1,0)</x:f>
        <x:v>0</x:v>
      </x:c>
      <x:c r="F445" s="50" t="n">
        <x:f>IF($B445&lt;='Scorecard'!$B$3-37,1,0)</x:f>
        <x:v>1</x:v>
      </x:c>
      <x:c r="G445" s="50" t="n">
        <x:f>IF(COUNTIFS(Events!$B$4:$B$1456,$A445,Events!$C$4:$C$1456,"day30_checkin_completed",Events!$D$4:$D$1456,"&gt;="&amp;($B445+28),Events!$D$4:$D$1456,"&lt;="&amp;($B445+37))&gt;0,1,0)</x:f>
        <x:v>0</x:v>
      </x:c>
      <x:c r="H445" s="50" t="n">
        <x:f>IF($B445&lt;='Scorecard'!$B$3-74,1,0)</x:f>
        <x:v>1</x:v>
      </x:c>
      <x:c r="I445" s="50" t="n">
        <x:f>IF(COUNTIFS(Events!$B$4:$B$1456,$A445,Events!$C$4:$C$1456,"day60_activity_observed",Events!$D$4:$D$1456,"&gt;="&amp;($B445+60),Events!$D$4:$D$1456,"&lt;="&amp;($B445+74))&gt;0,1,0)</x:f>
        <x:v>1</x:v>
      </x:c>
    </x:row>
    <x:row r="446">
      <x:c r="A446" s="50" t="str">
        <x:f>Members!A446</x:f>
        <x:v>SYN0443</x:v>
      </x:c>
      <x:c r="B446" s="51" t="n">
        <x:f>Members!B446</x:f>
        <x:v>46264</x:v>
      </x:c>
      <x:c r="C446" s="50" t="str">
        <x:f>Members!C446</x:f>
        <x:v>Employer</x:v>
      </x:c>
      <x:c r="D446" s="50" t="n">
        <x:f>IF($B446&lt;='Scorecard'!$B$3-7,1,0)</x:f>
        <x:v>1</x:v>
      </x:c>
      <x:c r="E446" s="50" t="n">
        <x:f>IF(COUNTIFS(Events!$B$4:$B$1456,$A446,Events!$C$4:$C$1456,"coach_contact_completed",Events!$D$4:$D$1456,"&gt;="&amp;($B446+0),Events!$D$4:$D$1456,"&lt;="&amp;($B446+7))&gt;0,1,0)</x:f>
        <x:v>0</x:v>
      </x:c>
      <x:c r="F446" s="50" t="n">
        <x:f>IF($B446&lt;='Scorecard'!$B$3-37,1,0)</x:f>
        <x:v>0</x:v>
      </x:c>
      <x:c r="G446" s="50" t="n">
        <x:f>IF(COUNTIFS(Events!$B$4:$B$1456,$A446,Events!$C$4:$C$1456,"day30_checkin_completed",Events!$D$4:$D$1456,"&gt;="&amp;($B446+28),Events!$D$4:$D$1456,"&lt;="&amp;($B446+37))&gt;0,1,0)</x:f>
        <x:v>0</x:v>
      </x:c>
      <x:c r="H446" s="50" t="n">
        <x:f>IF($B446&lt;='Scorecard'!$B$3-74,1,0)</x:f>
        <x:v>0</x:v>
      </x:c>
      <x:c r="I446" s="50" t="n">
        <x:f>IF(COUNTIFS(Events!$B$4:$B$1456,$A446,Events!$C$4:$C$1456,"day60_activity_observed",Events!$D$4:$D$1456,"&gt;="&amp;($B446+60),Events!$D$4:$D$1456,"&lt;="&amp;($B446+74))&gt;0,1,0)</x:f>
        <x:v>0</x:v>
      </x:c>
    </x:row>
    <x:row r="447">
      <x:c r="A447" s="50" t="str">
        <x:f>Members!A447</x:f>
        <x:v>SYN0444</x:v>
      </x:c>
      <x:c r="B447" s="51" t="n">
        <x:f>Members!B447</x:f>
        <x:v>46128</x:v>
      </x:c>
      <x:c r="C447" s="50" t="str">
        <x:f>Members!C447</x:f>
        <x:v>Direct</x:v>
      </x:c>
      <x:c r="D447" s="50" t="n">
        <x:f>IF($B447&lt;='Scorecard'!$B$3-7,1,0)</x:f>
        <x:v>1</x:v>
      </x:c>
      <x:c r="E447" s="50" t="n">
        <x:f>IF(COUNTIFS(Events!$B$4:$B$1456,$A447,Events!$C$4:$C$1456,"coach_contact_completed",Events!$D$4:$D$1456,"&gt;="&amp;($B447+0),Events!$D$4:$D$1456,"&lt;="&amp;($B447+7))&gt;0,1,0)</x:f>
        <x:v>1</x:v>
      </x:c>
      <x:c r="F447" s="50" t="n">
        <x:f>IF($B447&lt;='Scorecard'!$B$3-37,1,0)</x:f>
        <x:v>1</x:v>
      </x:c>
      <x:c r="G447" s="50" t="n">
        <x:f>IF(COUNTIFS(Events!$B$4:$B$1456,$A447,Events!$C$4:$C$1456,"day30_checkin_completed",Events!$D$4:$D$1456,"&gt;="&amp;($B447+28),Events!$D$4:$D$1456,"&lt;="&amp;($B447+37))&gt;0,1,0)</x:f>
        <x:v>1</x:v>
      </x:c>
      <x:c r="H447" s="50" t="n">
        <x:f>IF($B447&lt;='Scorecard'!$B$3-74,1,0)</x:f>
        <x:v>1</x:v>
      </x:c>
      <x:c r="I447" s="50" t="n">
        <x:f>IF(COUNTIFS(Events!$B$4:$B$1456,$A447,Events!$C$4:$C$1456,"day60_activity_observed",Events!$D$4:$D$1456,"&gt;="&amp;($B447+60),Events!$D$4:$D$1456,"&lt;="&amp;($B447+74))&gt;0,1,0)</x:f>
        <x:v>0</x:v>
      </x:c>
    </x:row>
    <x:row r="448">
      <x:c r="A448" s="50" t="str">
        <x:f>Members!A448</x:f>
        <x:v>SYN0445</x:v>
      </x:c>
      <x:c r="B448" s="51" t="n">
        <x:f>Members!B448</x:f>
        <x:v>46086</x:v>
      </x:c>
      <x:c r="C448" s="50" t="str">
        <x:f>Members!C448</x:f>
        <x:v>Direct</x:v>
      </x:c>
      <x:c r="D448" s="50" t="n">
        <x:f>IF($B448&lt;='Scorecard'!$B$3-7,1,0)</x:f>
        <x:v>1</x:v>
      </x:c>
      <x:c r="E448" s="50" t="n">
        <x:f>IF(COUNTIFS(Events!$B$4:$B$1456,$A448,Events!$C$4:$C$1456,"coach_contact_completed",Events!$D$4:$D$1456,"&gt;="&amp;($B448+0),Events!$D$4:$D$1456,"&lt;="&amp;($B448+7))&gt;0,1,0)</x:f>
        <x:v>1</x:v>
      </x:c>
      <x:c r="F448" s="50" t="n">
        <x:f>IF($B448&lt;='Scorecard'!$B$3-37,1,0)</x:f>
        <x:v>1</x:v>
      </x:c>
      <x:c r="G448" s="50" t="n">
        <x:f>IF(COUNTIFS(Events!$B$4:$B$1456,$A448,Events!$C$4:$C$1456,"day30_checkin_completed",Events!$D$4:$D$1456,"&gt;="&amp;($B448+28),Events!$D$4:$D$1456,"&lt;="&amp;($B448+37))&gt;0,1,0)</x:f>
        <x:v>1</x:v>
      </x:c>
      <x:c r="H448" s="50" t="n">
        <x:f>IF($B448&lt;='Scorecard'!$B$3-74,1,0)</x:f>
        <x:v>1</x:v>
      </x:c>
      <x:c r="I448" s="50" t="n">
        <x:f>IF(COUNTIFS(Events!$B$4:$B$1456,$A448,Events!$C$4:$C$1456,"day60_activity_observed",Events!$D$4:$D$1456,"&gt;="&amp;($B448+60),Events!$D$4:$D$1456,"&lt;="&amp;($B448+74))&gt;0,1,0)</x:f>
        <x:v>1</x:v>
      </x:c>
    </x:row>
    <x:row r="449">
      <x:c r="A449" s="50" t="str">
        <x:f>Members!A449</x:f>
        <x:v>SYN0446</x:v>
      </x:c>
      <x:c r="B449" s="51" t="n">
        <x:f>Members!B449</x:f>
        <x:v>46155</x:v>
      </x:c>
      <x:c r="C449" s="50" t="str">
        <x:f>Members!C449</x:f>
        <x:v>Direct</x:v>
      </x:c>
      <x:c r="D449" s="50" t="n">
        <x:f>IF($B449&lt;='Scorecard'!$B$3-7,1,0)</x:f>
        <x:v>1</x:v>
      </x:c>
      <x:c r="E449" s="50" t="n">
        <x:f>IF(COUNTIFS(Events!$B$4:$B$1456,$A449,Events!$C$4:$C$1456,"coach_contact_completed",Events!$D$4:$D$1456,"&gt;="&amp;($B449+0),Events!$D$4:$D$1456,"&lt;="&amp;($B449+7))&gt;0,1,0)</x:f>
        <x:v>1</x:v>
      </x:c>
      <x:c r="F449" s="50" t="n">
        <x:f>IF($B449&lt;='Scorecard'!$B$3-37,1,0)</x:f>
        <x:v>1</x:v>
      </x:c>
      <x:c r="G449" s="50" t="n">
        <x:f>IF(COUNTIFS(Events!$B$4:$B$1456,$A449,Events!$C$4:$C$1456,"day30_checkin_completed",Events!$D$4:$D$1456,"&gt;="&amp;($B449+28),Events!$D$4:$D$1456,"&lt;="&amp;($B449+37))&gt;0,1,0)</x:f>
        <x:v>1</x:v>
      </x:c>
      <x:c r="H449" s="50" t="n">
        <x:f>IF($B449&lt;='Scorecard'!$B$3-74,1,0)</x:f>
        <x:v>1</x:v>
      </x:c>
      <x:c r="I449" s="50" t="n">
        <x:f>IF(COUNTIFS(Events!$B$4:$B$1456,$A449,Events!$C$4:$C$1456,"day60_activity_observed",Events!$D$4:$D$1456,"&gt;="&amp;($B449+60),Events!$D$4:$D$1456,"&lt;="&amp;($B449+74))&gt;0,1,0)</x:f>
        <x:v>1</x:v>
      </x:c>
    </x:row>
    <x:row r="450">
      <x:c r="A450" s="50" t="str">
        <x:f>Members!A450</x:f>
        <x:v>SYN0447</x:v>
      </x:c>
      <x:c r="B450" s="51" t="n">
        <x:f>Members!B450</x:f>
        <x:v>46183</x:v>
      </x:c>
      <x:c r="C450" s="50" t="str">
        <x:f>Members!C450</x:f>
        <x:v>Direct</x:v>
      </x:c>
      <x:c r="D450" s="50" t="n">
        <x:f>IF($B450&lt;='Scorecard'!$B$3-7,1,0)</x:f>
        <x:v>1</x:v>
      </x:c>
      <x:c r="E450" s="50" t="n">
        <x:f>IF(COUNTIFS(Events!$B$4:$B$1456,$A450,Events!$C$4:$C$1456,"coach_contact_completed",Events!$D$4:$D$1456,"&gt;="&amp;($B450+0),Events!$D$4:$D$1456,"&lt;="&amp;($B450+7))&gt;0,1,0)</x:f>
        <x:v>0</x:v>
      </x:c>
      <x:c r="F450" s="50" t="n">
        <x:f>IF($B450&lt;='Scorecard'!$B$3-37,1,0)</x:f>
        <x:v>1</x:v>
      </x:c>
      <x:c r="G450" s="50" t="n">
        <x:f>IF(COUNTIFS(Events!$B$4:$B$1456,$A450,Events!$C$4:$C$1456,"day30_checkin_completed",Events!$D$4:$D$1456,"&gt;="&amp;($B450+28),Events!$D$4:$D$1456,"&lt;="&amp;($B450+37))&gt;0,1,0)</x:f>
        <x:v>1</x:v>
      </x:c>
      <x:c r="H450" s="50" t="n">
        <x:f>IF($B450&lt;='Scorecard'!$B$3-74,1,0)</x:f>
        <x:v>1</x:v>
      </x:c>
      <x:c r="I450" s="50" t="n">
        <x:f>IF(COUNTIFS(Events!$B$4:$B$1456,$A450,Events!$C$4:$C$1456,"day60_activity_observed",Events!$D$4:$D$1456,"&gt;="&amp;($B450+60),Events!$D$4:$D$1456,"&lt;="&amp;($B450+74))&gt;0,1,0)</x:f>
        <x:v>0</x:v>
      </x:c>
    </x:row>
    <x:row r="451">
      <x:c r="A451" s="50" t="str">
        <x:f>Members!A451</x:f>
        <x:v>SYN0448</x:v>
      </x:c>
      <x:c r="B451" s="51" t="n">
        <x:f>Members!B451</x:f>
        <x:v>46071</x:v>
      </x:c>
      <x:c r="C451" s="50" t="str">
        <x:f>Members!C451</x:f>
        <x:v>Direct</x:v>
      </x:c>
      <x:c r="D451" s="50" t="n">
        <x:f>IF($B451&lt;='Scorecard'!$B$3-7,1,0)</x:f>
        <x:v>1</x:v>
      </x:c>
      <x:c r="E451" s="50" t="n">
        <x:f>IF(COUNTIFS(Events!$B$4:$B$1456,$A451,Events!$C$4:$C$1456,"coach_contact_completed",Events!$D$4:$D$1456,"&gt;="&amp;($B451+0),Events!$D$4:$D$1456,"&lt;="&amp;($B451+7))&gt;0,1,0)</x:f>
        <x:v>1</x:v>
      </x:c>
      <x:c r="F451" s="50" t="n">
        <x:f>IF($B451&lt;='Scorecard'!$B$3-37,1,0)</x:f>
        <x:v>1</x:v>
      </x:c>
      <x:c r="G451" s="50" t="n">
        <x:f>IF(COUNTIFS(Events!$B$4:$B$1456,$A451,Events!$C$4:$C$1456,"day30_checkin_completed",Events!$D$4:$D$1456,"&gt;="&amp;($B451+28),Events!$D$4:$D$1456,"&lt;="&amp;($B451+37))&gt;0,1,0)</x:f>
        <x:v>1</x:v>
      </x:c>
      <x:c r="H451" s="50" t="n">
        <x:f>IF($B451&lt;='Scorecard'!$B$3-74,1,0)</x:f>
        <x:v>1</x:v>
      </x:c>
      <x:c r="I451" s="50" t="n">
        <x:f>IF(COUNTIFS(Events!$B$4:$B$1456,$A451,Events!$C$4:$C$1456,"day60_activity_observed",Events!$D$4:$D$1456,"&gt;="&amp;($B451+60),Events!$D$4:$D$1456,"&lt;="&amp;($B451+74))&gt;0,1,0)</x:f>
        <x:v>1</x:v>
      </x:c>
    </x:row>
    <x:row r="452">
      <x:c r="A452" s="50" t="str">
        <x:f>Members!A452</x:f>
        <x:v>SYN0449</x:v>
      </x:c>
      <x:c r="B452" s="51" t="n">
        <x:f>Members!B452</x:f>
        <x:v>46088</x:v>
      </x:c>
      <x:c r="C452" s="50" t="str">
        <x:f>Members!C452</x:f>
        <x:v>Direct</x:v>
      </x:c>
      <x:c r="D452" s="50" t="n">
        <x:f>IF($B452&lt;='Scorecard'!$B$3-7,1,0)</x:f>
        <x:v>1</x:v>
      </x:c>
      <x:c r="E452" s="50" t="n">
        <x:f>IF(COUNTIFS(Events!$B$4:$B$1456,$A452,Events!$C$4:$C$1456,"coach_contact_completed",Events!$D$4:$D$1456,"&gt;="&amp;($B452+0),Events!$D$4:$D$1456,"&lt;="&amp;($B452+7))&gt;0,1,0)</x:f>
        <x:v>1</x:v>
      </x:c>
      <x:c r="F452" s="50" t="n">
        <x:f>IF($B452&lt;='Scorecard'!$B$3-37,1,0)</x:f>
        <x:v>1</x:v>
      </x:c>
      <x:c r="G452" s="50" t="n">
        <x:f>IF(COUNTIFS(Events!$B$4:$B$1456,$A452,Events!$C$4:$C$1456,"day30_checkin_completed",Events!$D$4:$D$1456,"&gt;="&amp;($B452+28),Events!$D$4:$D$1456,"&lt;="&amp;($B452+37))&gt;0,1,0)</x:f>
        <x:v>0</x:v>
      </x:c>
      <x:c r="H452" s="50" t="n">
        <x:f>IF($B452&lt;='Scorecard'!$B$3-74,1,0)</x:f>
        <x:v>1</x:v>
      </x:c>
      <x:c r="I452" s="50" t="n">
        <x:f>IF(COUNTIFS(Events!$B$4:$B$1456,$A452,Events!$C$4:$C$1456,"day60_activity_observed",Events!$D$4:$D$1456,"&gt;="&amp;($B452+60),Events!$D$4:$D$1456,"&lt;="&amp;($B452+74))&gt;0,1,0)</x:f>
        <x:v>0</x:v>
      </x:c>
    </x:row>
    <x:row r="453">
      <x:c r="A453" s="50" t="str">
        <x:f>Members!A453</x:f>
        <x:v>SYN0450</x:v>
      </x:c>
      <x:c r="B453" s="51" t="n">
        <x:f>Members!B453</x:f>
        <x:v>46227</x:v>
      </x:c>
      <x:c r="C453" s="50" t="str">
        <x:f>Members!C453</x:f>
        <x:v>Direct</x:v>
      </x:c>
      <x:c r="D453" s="50" t="n">
        <x:f>IF($B453&lt;='Scorecard'!$B$3-7,1,0)</x:f>
        <x:v>1</x:v>
      </x:c>
      <x:c r="E453" s="50" t="n">
        <x:f>IF(COUNTIFS(Events!$B$4:$B$1456,$A453,Events!$C$4:$C$1456,"coach_contact_completed",Events!$D$4:$D$1456,"&gt;="&amp;($B453+0),Events!$D$4:$D$1456,"&lt;="&amp;($B453+7))&gt;0,1,0)</x:f>
        <x:v>0</x:v>
      </x:c>
      <x:c r="F453" s="50" t="n">
        <x:f>IF($B453&lt;='Scorecard'!$B$3-37,1,0)</x:f>
        <x:v>1</x:v>
      </x:c>
      <x:c r="G453" s="50" t="n">
        <x:f>IF(COUNTIFS(Events!$B$4:$B$1456,$A453,Events!$C$4:$C$1456,"day30_checkin_completed",Events!$D$4:$D$1456,"&gt;="&amp;($B453+28),Events!$D$4:$D$1456,"&lt;="&amp;($B453+37))&gt;0,1,0)</x:f>
        <x:v>1</x:v>
      </x:c>
      <x:c r="H453" s="50" t="n">
        <x:f>IF($B453&lt;='Scorecard'!$B$3-74,1,0)</x:f>
        <x:v>0</x:v>
      </x:c>
      <x:c r="I453" s="50" t="n">
        <x:f>IF(COUNTIFS(Events!$B$4:$B$1456,$A453,Events!$C$4:$C$1456,"day60_activity_observed",Events!$D$4:$D$1456,"&gt;="&amp;($B453+60),Events!$D$4:$D$1456,"&lt;="&amp;($B453+74))&gt;0,1,0)</x:f>
        <x:v>0</x:v>
      </x:c>
    </x:row>
    <x:row r="454">
      <x:c r="A454" s="50" t="str">
        <x:f>Members!A454</x:f>
        <x:v>SYN0451</x:v>
      </x:c>
      <x:c r="B454" s="51" t="n">
        <x:f>Members!B454</x:f>
        <x:v>46206</x:v>
      </x:c>
      <x:c r="C454" s="50" t="str">
        <x:f>Members!C454</x:f>
        <x:v>Direct</x:v>
      </x:c>
      <x:c r="D454" s="50" t="n">
        <x:f>IF($B454&lt;='Scorecard'!$B$3-7,1,0)</x:f>
        <x:v>1</x:v>
      </x:c>
      <x:c r="E454" s="50" t="n">
        <x:f>IF(COUNTIFS(Events!$B$4:$B$1456,$A454,Events!$C$4:$C$1456,"coach_contact_completed",Events!$D$4:$D$1456,"&gt;="&amp;($B454+0),Events!$D$4:$D$1456,"&lt;="&amp;($B454+7))&gt;0,1,0)</x:f>
        <x:v>1</x:v>
      </x:c>
      <x:c r="F454" s="50" t="n">
        <x:f>IF($B454&lt;='Scorecard'!$B$3-37,1,0)</x:f>
        <x:v>1</x:v>
      </x:c>
      <x:c r="G454" s="50" t="n">
        <x:f>IF(COUNTIFS(Events!$B$4:$B$1456,$A454,Events!$C$4:$C$1456,"day30_checkin_completed",Events!$D$4:$D$1456,"&gt;="&amp;($B454+28),Events!$D$4:$D$1456,"&lt;="&amp;($B454+37))&gt;0,1,0)</x:f>
        <x:v>0</x:v>
      </x:c>
      <x:c r="H454" s="50" t="n">
        <x:f>IF($B454&lt;='Scorecard'!$B$3-74,1,0)</x:f>
        <x:v>1</x:v>
      </x:c>
      <x:c r="I454" s="50" t="n">
        <x:f>IF(COUNTIFS(Events!$B$4:$B$1456,$A454,Events!$C$4:$C$1456,"day60_activity_observed",Events!$D$4:$D$1456,"&gt;="&amp;($B454+60),Events!$D$4:$D$1456,"&lt;="&amp;($B454+74))&gt;0,1,0)</x:f>
        <x:v>1</x:v>
      </x:c>
    </x:row>
    <x:row r="455">
      <x:c r="A455" s="50" t="str">
        <x:f>Members!A455</x:f>
        <x:v>SYN0452</x:v>
      </x:c>
      <x:c r="B455" s="51" t="n">
        <x:f>Members!B455</x:f>
        <x:v>46076</x:v>
      </x:c>
      <x:c r="C455" s="50" t="str">
        <x:f>Members!C455</x:f>
        <x:v>Direct</x:v>
      </x:c>
      <x:c r="D455" s="50" t="n">
        <x:f>IF($B455&lt;='Scorecard'!$B$3-7,1,0)</x:f>
        <x:v>1</x:v>
      </x:c>
      <x:c r="E455" s="50" t="n">
        <x:f>IF(COUNTIFS(Events!$B$4:$B$1456,$A455,Events!$C$4:$C$1456,"coach_contact_completed",Events!$D$4:$D$1456,"&gt;="&amp;($B455+0),Events!$D$4:$D$1456,"&lt;="&amp;($B455+7))&gt;0,1,0)</x:f>
        <x:v>1</x:v>
      </x:c>
      <x:c r="F455" s="50" t="n">
        <x:f>IF($B455&lt;='Scorecard'!$B$3-37,1,0)</x:f>
        <x:v>1</x:v>
      </x:c>
      <x:c r="G455" s="50" t="n">
        <x:f>IF(COUNTIFS(Events!$B$4:$B$1456,$A455,Events!$C$4:$C$1456,"day30_checkin_completed",Events!$D$4:$D$1456,"&gt;="&amp;($B455+28),Events!$D$4:$D$1456,"&lt;="&amp;($B455+37))&gt;0,1,0)</x:f>
        <x:v>0</x:v>
      </x:c>
      <x:c r="H455" s="50" t="n">
        <x:f>IF($B455&lt;='Scorecard'!$B$3-74,1,0)</x:f>
        <x:v>1</x:v>
      </x:c>
      <x:c r="I455" s="50" t="n">
        <x:f>IF(COUNTIFS(Events!$B$4:$B$1456,$A455,Events!$C$4:$C$1456,"day60_activity_observed",Events!$D$4:$D$1456,"&gt;="&amp;($B455+60),Events!$D$4:$D$1456,"&lt;="&amp;($B455+74))&gt;0,1,0)</x:f>
        <x:v>1</x:v>
      </x:c>
    </x:row>
    <x:row r="456">
      <x:c r="A456" s="50" t="str">
        <x:f>Members!A456</x:f>
        <x:v>SYN0453</x:v>
      </x:c>
      <x:c r="B456" s="51" t="n">
        <x:f>Members!B456</x:f>
        <x:v>46146</x:v>
      </x:c>
      <x:c r="C456" s="50" t="str">
        <x:f>Members!C456</x:f>
        <x:v>Direct</x:v>
      </x:c>
      <x:c r="D456" s="50" t="n">
        <x:f>IF($B456&lt;='Scorecard'!$B$3-7,1,0)</x:f>
        <x:v>1</x:v>
      </x:c>
      <x:c r="E456" s="50" t="n">
        <x:f>IF(COUNTIFS(Events!$B$4:$B$1456,$A456,Events!$C$4:$C$1456,"coach_contact_completed",Events!$D$4:$D$1456,"&gt;="&amp;($B456+0),Events!$D$4:$D$1456,"&lt;="&amp;($B456+7))&gt;0,1,0)</x:f>
        <x:v>0</x:v>
      </x:c>
      <x:c r="F456" s="50" t="n">
        <x:f>IF($B456&lt;='Scorecard'!$B$3-37,1,0)</x:f>
        <x:v>1</x:v>
      </x:c>
      <x:c r="G456" s="50" t="n">
        <x:f>IF(COUNTIFS(Events!$B$4:$B$1456,$A456,Events!$C$4:$C$1456,"day30_checkin_completed",Events!$D$4:$D$1456,"&gt;="&amp;($B456+28),Events!$D$4:$D$1456,"&lt;="&amp;($B456+37))&gt;0,1,0)</x:f>
        <x:v>0</x:v>
      </x:c>
      <x:c r="H456" s="50" t="n">
        <x:f>IF($B456&lt;='Scorecard'!$B$3-74,1,0)</x:f>
        <x:v>1</x:v>
      </x:c>
      <x:c r="I456" s="50" t="n">
        <x:f>IF(COUNTIFS(Events!$B$4:$B$1456,$A456,Events!$C$4:$C$1456,"day60_activity_observed",Events!$D$4:$D$1456,"&gt;="&amp;($B456+60),Events!$D$4:$D$1456,"&lt;="&amp;($B456+74))&gt;0,1,0)</x:f>
        <x:v>1</x:v>
      </x:c>
    </x:row>
    <x:row r="457">
      <x:c r="A457" s="50" t="str">
        <x:f>Members!A457</x:f>
        <x:v>SYN0454</x:v>
      </x:c>
      <x:c r="B457" s="51" t="n">
        <x:f>Members!B457</x:f>
        <x:v>46155</x:v>
      </x:c>
      <x:c r="C457" s="50" t="str">
        <x:f>Members!C457</x:f>
        <x:v>Direct</x:v>
      </x:c>
      <x:c r="D457" s="50" t="n">
        <x:f>IF($B457&lt;='Scorecard'!$B$3-7,1,0)</x:f>
        <x:v>1</x:v>
      </x:c>
      <x:c r="E457" s="50" t="n">
        <x:f>IF(COUNTIFS(Events!$B$4:$B$1456,$A457,Events!$C$4:$C$1456,"coach_contact_completed",Events!$D$4:$D$1456,"&gt;="&amp;($B457+0),Events!$D$4:$D$1456,"&lt;="&amp;($B457+7))&gt;0,1,0)</x:f>
        <x:v>0</x:v>
      </x:c>
      <x:c r="F457" s="50" t="n">
        <x:f>IF($B457&lt;='Scorecard'!$B$3-37,1,0)</x:f>
        <x:v>1</x:v>
      </x:c>
      <x:c r="G457" s="50" t="n">
        <x:f>IF(COUNTIFS(Events!$B$4:$B$1456,$A457,Events!$C$4:$C$1456,"day30_checkin_completed",Events!$D$4:$D$1456,"&gt;="&amp;($B457+28),Events!$D$4:$D$1456,"&lt;="&amp;($B457+37))&gt;0,1,0)</x:f>
        <x:v>0</x:v>
      </x:c>
      <x:c r="H457" s="50" t="n">
        <x:f>IF($B457&lt;='Scorecard'!$B$3-74,1,0)</x:f>
        <x:v>1</x:v>
      </x:c>
      <x:c r="I457" s="50" t="n">
        <x:f>IF(COUNTIFS(Events!$B$4:$B$1456,$A457,Events!$C$4:$C$1456,"day60_activity_observed",Events!$D$4:$D$1456,"&gt;="&amp;($B457+60),Events!$D$4:$D$1456,"&lt;="&amp;($B457+74))&gt;0,1,0)</x:f>
        <x:v>1</x:v>
      </x:c>
    </x:row>
    <x:row r="458">
      <x:c r="A458" s="50" t="str">
        <x:f>Members!A458</x:f>
        <x:v>SYN0455</x:v>
      </x:c>
      <x:c r="B458" s="51" t="n">
        <x:f>Members!B458</x:f>
        <x:v>46251</x:v>
      </x:c>
      <x:c r="C458" s="50" t="str">
        <x:f>Members!C458</x:f>
        <x:v>Direct</x:v>
      </x:c>
      <x:c r="D458" s="50" t="n">
        <x:f>IF($B458&lt;='Scorecard'!$B$3-7,1,0)</x:f>
        <x:v>1</x:v>
      </x:c>
      <x:c r="E458" s="50" t="n">
        <x:f>IF(COUNTIFS(Events!$B$4:$B$1456,$A458,Events!$C$4:$C$1456,"coach_contact_completed",Events!$D$4:$D$1456,"&gt;="&amp;($B458+0),Events!$D$4:$D$1456,"&lt;="&amp;($B458+7))&gt;0,1,0)</x:f>
        <x:v>0</x:v>
      </x:c>
      <x:c r="F458" s="50" t="n">
        <x:f>IF($B458&lt;='Scorecard'!$B$3-37,1,0)</x:f>
        <x:v>1</x:v>
      </x:c>
      <x:c r="G458" s="50" t="n">
        <x:f>IF(COUNTIFS(Events!$B$4:$B$1456,$A458,Events!$C$4:$C$1456,"day30_checkin_completed",Events!$D$4:$D$1456,"&gt;="&amp;($B458+28),Events!$D$4:$D$1456,"&lt;="&amp;($B458+37))&gt;0,1,0)</x:f>
        <x:v>0</x:v>
      </x:c>
      <x:c r="H458" s="50" t="n">
        <x:f>IF($B458&lt;='Scorecard'!$B$3-74,1,0)</x:f>
        <x:v>0</x:v>
      </x:c>
      <x:c r="I458" s="50" t="n">
        <x:f>IF(COUNTIFS(Events!$B$4:$B$1456,$A458,Events!$C$4:$C$1456,"day60_activity_observed",Events!$D$4:$D$1456,"&gt;="&amp;($B458+60),Events!$D$4:$D$1456,"&lt;="&amp;($B458+74))&gt;0,1,0)</x:f>
        <x:v>0</x:v>
      </x:c>
    </x:row>
    <x:row r="459">
      <x:c r="A459" s="50" t="str">
        <x:f>Members!A459</x:f>
        <x:v>SYN0456</x:v>
      </x:c>
      <x:c r="B459" s="51" t="n">
        <x:f>Members!B459</x:f>
        <x:v>46171</x:v>
      </x:c>
      <x:c r="C459" s="50" t="str">
        <x:f>Members!C459</x:f>
        <x:v>Direct</x:v>
      </x:c>
      <x:c r="D459" s="50" t="n">
        <x:f>IF($B459&lt;='Scorecard'!$B$3-7,1,0)</x:f>
        <x:v>1</x:v>
      </x:c>
      <x:c r="E459" s="50" t="n">
        <x:f>IF(COUNTIFS(Events!$B$4:$B$1456,$A459,Events!$C$4:$C$1456,"coach_contact_completed",Events!$D$4:$D$1456,"&gt;="&amp;($B459+0),Events!$D$4:$D$1456,"&lt;="&amp;($B459+7))&gt;0,1,0)</x:f>
        <x:v>1</x:v>
      </x:c>
      <x:c r="F459" s="50" t="n">
        <x:f>IF($B459&lt;='Scorecard'!$B$3-37,1,0)</x:f>
        <x:v>1</x:v>
      </x:c>
      <x:c r="G459" s="50" t="n">
        <x:f>IF(COUNTIFS(Events!$B$4:$B$1456,$A459,Events!$C$4:$C$1456,"day30_checkin_completed",Events!$D$4:$D$1456,"&gt;="&amp;($B459+28),Events!$D$4:$D$1456,"&lt;="&amp;($B459+37))&gt;0,1,0)</x:f>
        <x:v>1</x:v>
      </x:c>
      <x:c r="H459" s="50" t="n">
        <x:f>IF($B459&lt;='Scorecard'!$B$3-74,1,0)</x:f>
        <x:v>1</x:v>
      </x:c>
      <x:c r="I459" s="50" t="n">
        <x:f>IF(COUNTIFS(Events!$B$4:$B$1456,$A459,Events!$C$4:$C$1456,"day60_activity_observed",Events!$D$4:$D$1456,"&gt;="&amp;($B459+60),Events!$D$4:$D$1456,"&lt;="&amp;($B459+74))&gt;0,1,0)</x:f>
        <x:v>0</x:v>
      </x:c>
    </x:row>
    <x:row r="460">
      <x:c r="A460" s="50" t="str">
        <x:f>Members!A460</x:f>
        <x:v>SYN0457</x:v>
      </x:c>
      <x:c r="B460" s="51" t="n">
        <x:f>Members!B460</x:f>
        <x:v>46202</x:v>
      </x:c>
      <x:c r="C460" s="50" t="str">
        <x:f>Members!C460</x:f>
        <x:v>Direct</x:v>
      </x:c>
      <x:c r="D460" s="50" t="n">
        <x:f>IF($B460&lt;='Scorecard'!$B$3-7,1,0)</x:f>
        <x:v>1</x:v>
      </x:c>
      <x:c r="E460" s="50" t="n">
        <x:f>IF(COUNTIFS(Events!$B$4:$B$1456,$A460,Events!$C$4:$C$1456,"coach_contact_completed",Events!$D$4:$D$1456,"&gt;="&amp;($B460+0),Events!$D$4:$D$1456,"&lt;="&amp;($B460+7))&gt;0,1,0)</x:f>
        <x:v>1</x:v>
      </x:c>
      <x:c r="F460" s="50" t="n">
        <x:f>IF($B460&lt;='Scorecard'!$B$3-37,1,0)</x:f>
        <x:v>1</x:v>
      </x:c>
      <x:c r="G460" s="50" t="n">
        <x:f>IF(COUNTIFS(Events!$B$4:$B$1456,$A460,Events!$C$4:$C$1456,"day30_checkin_completed",Events!$D$4:$D$1456,"&gt;="&amp;($B460+28),Events!$D$4:$D$1456,"&lt;="&amp;($B460+37))&gt;0,1,0)</x:f>
        <x:v>1</x:v>
      </x:c>
      <x:c r="H460" s="50" t="n">
        <x:f>IF($B460&lt;='Scorecard'!$B$3-74,1,0)</x:f>
        <x:v>1</x:v>
      </x:c>
      <x:c r="I460" s="50" t="n">
        <x:f>IF(COUNTIFS(Events!$B$4:$B$1456,$A460,Events!$C$4:$C$1456,"day60_activity_observed",Events!$D$4:$D$1456,"&gt;="&amp;($B460+60),Events!$D$4:$D$1456,"&lt;="&amp;($B460+74))&gt;0,1,0)</x:f>
        <x:v>1</x:v>
      </x:c>
    </x:row>
    <x:row r="461">
      <x:c r="A461" s="50" t="str">
        <x:f>Members!A461</x:f>
        <x:v>SYN0458</x:v>
      </x:c>
      <x:c r="B461" s="51" t="n">
        <x:f>Members!B461</x:f>
        <x:v>46044</x:v>
      </x:c>
      <x:c r="C461" s="50" t="str">
        <x:f>Members!C461</x:f>
        <x:v>Direct</x:v>
      </x:c>
      <x:c r="D461" s="50" t="n">
        <x:f>IF($B461&lt;='Scorecard'!$B$3-7,1,0)</x:f>
        <x:v>1</x:v>
      </x:c>
      <x:c r="E461" s="50" t="n">
        <x:f>IF(COUNTIFS(Events!$B$4:$B$1456,$A461,Events!$C$4:$C$1456,"coach_contact_completed",Events!$D$4:$D$1456,"&gt;="&amp;($B461+0),Events!$D$4:$D$1456,"&lt;="&amp;($B461+7))&gt;0,1,0)</x:f>
        <x:v>0</x:v>
      </x:c>
      <x:c r="F461" s="50" t="n">
        <x:f>IF($B461&lt;='Scorecard'!$B$3-37,1,0)</x:f>
        <x:v>1</x:v>
      </x:c>
      <x:c r="G461" s="50" t="n">
        <x:f>IF(COUNTIFS(Events!$B$4:$B$1456,$A461,Events!$C$4:$C$1456,"day30_checkin_completed",Events!$D$4:$D$1456,"&gt;="&amp;($B461+28),Events!$D$4:$D$1456,"&lt;="&amp;($B461+37))&gt;0,1,0)</x:f>
        <x:v>0</x:v>
      </x:c>
      <x:c r="H461" s="50" t="n">
        <x:f>IF($B461&lt;='Scorecard'!$B$3-74,1,0)</x:f>
        <x:v>1</x:v>
      </x:c>
      <x:c r="I461" s="50" t="n">
        <x:f>IF(COUNTIFS(Events!$B$4:$B$1456,$A461,Events!$C$4:$C$1456,"day60_activity_observed",Events!$D$4:$D$1456,"&gt;="&amp;($B461+60),Events!$D$4:$D$1456,"&lt;="&amp;($B461+74))&gt;0,1,0)</x:f>
        <x:v>1</x:v>
      </x:c>
    </x:row>
    <x:row r="462">
      <x:c r="A462" s="50" t="str">
        <x:f>Members!A462</x:f>
        <x:v>SYN0459</x:v>
      </x:c>
      <x:c r="B462" s="51" t="n">
        <x:f>Members!B462</x:f>
        <x:v>46043</x:v>
      </x:c>
      <x:c r="C462" s="50" t="str">
        <x:f>Members!C462</x:f>
        <x:v>Employer</x:v>
      </x:c>
      <x:c r="D462" s="50" t="n">
        <x:f>IF($B462&lt;='Scorecard'!$B$3-7,1,0)</x:f>
        <x:v>1</x:v>
      </x:c>
      <x:c r="E462" s="50" t="n">
        <x:f>IF(COUNTIFS(Events!$B$4:$B$1456,$A462,Events!$C$4:$C$1456,"coach_contact_completed",Events!$D$4:$D$1456,"&gt;="&amp;($B462+0),Events!$D$4:$D$1456,"&lt;="&amp;($B462+7))&gt;0,1,0)</x:f>
        <x:v>1</x:v>
      </x:c>
      <x:c r="F462" s="50" t="n">
        <x:f>IF($B462&lt;='Scorecard'!$B$3-37,1,0)</x:f>
        <x:v>1</x:v>
      </x:c>
      <x:c r="G462" s="50" t="n">
        <x:f>IF(COUNTIFS(Events!$B$4:$B$1456,$A462,Events!$C$4:$C$1456,"day30_checkin_completed",Events!$D$4:$D$1456,"&gt;="&amp;($B462+28),Events!$D$4:$D$1456,"&lt;="&amp;($B462+37))&gt;0,1,0)</x:f>
        <x:v>0</x:v>
      </x:c>
      <x:c r="H462" s="50" t="n">
        <x:f>IF($B462&lt;='Scorecard'!$B$3-74,1,0)</x:f>
        <x:v>1</x:v>
      </x:c>
      <x:c r="I462" s="50" t="n">
        <x:f>IF(COUNTIFS(Events!$B$4:$B$1456,$A462,Events!$C$4:$C$1456,"day60_activity_observed",Events!$D$4:$D$1456,"&gt;="&amp;($B462+60),Events!$D$4:$D$1456,"&lt;="&amp;($B462+74))&gt;0,1,0)</x:f>
        <x:v>0</x:v>
      </x:c>
    </x:row>
    <x:row r="463">
      <x:c r="A463" s="50" t="str">
        <x:f>Members!A463</x:f>
        <x:v>SYN0460</x:v>
      </x:c>
      <x:c r="B463" s="51" t="n">
        <x:f>Members!B463</x:f>
        <x:v>46197</x:v>
      </x:c>
      <x:c r="C463" s="50" t="str">
        <x:f>Members!C463</x:f>
        <x:v>Direct</x:v>
      </x:c>
      <x:c r="D463" s="50" t="n">
        <x:f>IF($B463&lt;='Scorecard'!$B$3-7,1,0)</x:f>
        <x:v>1</x:v>
      </x:c>
      <x:c r="E463" s="50" t="n">
        <x:f>IF(COUNTIFS(Events!$B$4:$B$1456,$A463,Events!$C$4:$C$1456,"coach_contact_completed",Events!$D$4:$D$1456,"&gt;="&amp;($B463+0),Events!$D$4:$D$1456,"&lt;="&amp;($B463+7))&gt;0,1,0)</x:f>
        <x:v>1</x:v>
      </x:c>
      <x:c r="F463" s="50" t="n">
        <x:f>IF($B463&lt;='Scorecard'!$B$3-37,1,0)</x:f>
        <x:v>1</x:v>
      </x:c>
      <x:c r="G463" s="50" t="n">
        <x:f>IF(COUNTIFS(Events!$B$4:$B$1456,$A463,Events!$C$4:$C$1456,"day30_checkin_completed",Events!$D$4:$D$1456,"&gt;="&amp;($B463+28),Events!$D$4:$D$1456,"&lt;="&amp;($B463+37))&gt;0,1,0)</x:f>
        <x:v>1</x:v>
      </x:c>
      <x:c r="H463" s="50" t="n">
        <x:f>IF($B463&lt;='Scorecard'!$B$3-74,1,0)</x:f>
        <x:v>1</x:v>
      </x:c>
      <x:c r="I463" s="50" t="n">
        <x:f>IF(COUNTIFS(Events!$B$4:$B$1456,$A463,Events!$C$4:$C$1456,"day60_activity_observed",Events!$D$4:$D$1456,"&gt;="&amp;($B463+60),Events!$D$4:$D$1456,"&lt;="&amp;($B463+74))&gt;0,1,0)</x:f>
        <x:v>1</x:v>
      </x:c>
    </x:row>
    <x:row r="464">
      <x:c r="A464" s="50" t="str">
        <x:f>Members!A464</x:f>
        <x:v>SYN0461</x:v>
      </x:c>
      <x:c r="B464" s="51" t="n">
        <x:f>Members!B464</x:f>
        <x:v>46263</x:v>
      </x:c>
      <x:c r="C464" s="50" t="str">
        <x:f>Members!C464</x:f>
        <x:v>Direct</x:v>
      </x:c>
      <x:c r="D464" s="50" t="n">
        <x:f>IF($B464&lt;='Scorecard'!$B$3-7,1,0)</x:f>
        <x:v>1</x:v>
      </x:c>
      <x:c r="E464" s="50" t="n">
        <x:f>IF(COUNTIFS(Events!$B$4:$B$1456,$A464,Events!$C$4:$C$1456,"coach_contact_completed",Events!$D$4:$D$1456,"&gt;="&amp;($B464+0),Events!$D$4:$D$1456,"&lt;="&amp;($B464+7))&gt;0,1,0)</x:f>
        <x:v>1</x:v>
      </x:c>
      <x:c r="F464" s="50" t="n">
        <x:f>IF($B464&lt;='Scorecard'!$B$3-37,1,0)</x:f>
        <x:v>0</x:v>
      </x:c>
      <x:c r="G464" s="50" t="n">
        <x:f>IF(COUNTIFS(Events!$B$4:$B$1456,$A464,Events!$C$4:$C$1456,"day30_checkin_completed",Events!$D$4:$D$1456,"&gt;="&amp;($B464+28),Events!$D$4:$D$1456,"&lt;="&amp;($B464+37))&gt;0,1,0)</x:f>
        <x:v>0</x:v>
      </x:c>
      <x:c r="H464" s="50" t="n">
        <x:f>IF($B464&lt;='Scorecard'!$B$3-74,1,0)</x:f>
        <x:v>0</x:v>
      </x:c>
      <x:c r="I464" s="50" t="n">
        <x:f>IF(COUNTIFS(Events!$B$4:$B$1456,$A464,Events!$C$4:$C$1456,"day60_activity_observed",Events!$D$4:$D$1456,"&gt;="&amp;($B464+60),Events!$D$4:$D$1456,"&lt;="&amp;($B464+74))&gt;0,1,0)</x:f>
        <x:v>0</x:v>
      </x:c>
    </x:row>
    <x:row r="465">
      <x:c r="A465" s="50" t="str">
        <x:f>Members!A465</x:f>
        <x:v>SYN0462</x:v>
      </x:c>
      <x:c r="B465" s="51" t="n">
        <x:f>Members!B465</x:f>
        <x:v>46192</x:v>
      </x:c>
      <x:c r="C465" s="50" t="str">
        <x:f>Members!C465</x:f>
        <x:v>Direct</x:v>
      </x:c>
      <x:c r="D465" s="50" t="n">
        <x:f>IF($B465&lt;='Scorecard'!$B$3-7,1,0)</x:f>
        <x:v>1</x:v>
      </x:c>
      <x:c r="E465" s="50" t="n">
        <x:f>IF(COUNTIFS(Events!$B$4:$B$1456,$A465,Events!$C$4:$C$1456,"coach_contact_completed",Events!$D$4:$D$1456,"&gt;="&amp;($B465+0),Events!$D$4:$D$1456,"&lt;="&amp;($B465+7))&gt;0,1,0)</x:f>
        <x:v>1</x:v>
      </x:c>
      <x:c r="F465" s="50" t="n">
        <x:f>IF($B465&lt;='Scorecard'!$B$3-37,1,0)</x:f>
        <x:v>1</x:v>
      </x:c>
      <x:c r="G465" s="50" t="n">
        <x:f>IF(COUNTIFS(Events!$B$4:$B$1456,$A465,Events!$C$4:$C$1456,"day30_checkin_completed",Events!$D$4:$D$1456,"&gt;="&amp;($B465+28),Events!$D$4:$D$1456,"&lt;="&amp;($B465+37))&gt;0,1,0)</x:f>
        <x:v>1</x:v>
      </x:c>
      <x:c r="H465" s="50" t="n">
        <x:f>IF($B465&lt;='Scorecard'!$B$3-74,1,0)</x:f>
        <x:v>1</x:v>
      </x:c>
      <x:c r="I465" s="50" t="n">
        <x:f>IF(COUNTIFS(Events!$B$4:$B$1456,$A465,Events!$C$4:$C$1456,"day60_activity_observed",Events!$D$4:$D$1456,"&gt;="&amp;($B465+60),Events!$D$4:$D$1456,"&lt;="&amp;($B465+74))&gt;0,1,0)</x:f>
        <x:v>1</x:v>
      </x:c>
    </x:row>
    <x:row r="466">
      <x:c r="A466" s="50" t="str">
        <x:f>Members!A466</x:f>
        <x:v>SYN0463</x:v>
      </x:c>
      <x:c r="B466" s="51" t="n">
        <x:f>Members!B466</x:f>
        <x:v>46198</x:v>
      </x:c>
      <x:c r="C466" s="50" t="str">
        <x:f>Members!C466</x:f>
        <x:v>Employer</x:v>
      </x:c>
      <x:c r="D466" s="50" t="n">
        <x:f>IF($B466&lt;='Scorecard'!$B$3-7,1,0)</x:f>
        <x:v>1</x:v>
      </x:c>
      <x:c r="E466" s="50" t="n">
        <x:f>IF(COUNTIFS(Events!$B$4:$B$1456,$A466,Events!$C$4:$C$1456,"coach_contact_completed",Events!$D$4:$D$1456,"&gt;="&amp;($B466+0),Events!$D$4:$D$1456,"&lt;="&amp;($B466+7))&gt;0,1,0)</x:f>
        <x:v>0</x:v>
      </x:c>
      <x:c r="F466" s="50" t="n">
        <x:f>IF($B466&lt;='Scorecard'!$B$3-37,1,0)</x:f>
        <x:v>1</x:v>
      </x:c>
      <x:c r="G466" s="50" t="n">
        <x:f>IF(COUNTIFS(Events!$B$4:$B$1456,$A466,Events!$C$4:$C$1456,"day30_checkin_completed",Events!$D$4:$D$1456,"&gt;="&amp;($B466+28),Events!$D$4:$D$1456,"&lt;="&amp;($B466+37))&gt;0,1,0)</x:f>
        <x:v>1</x:v>
      </x:c>
      <x:c r="H466" s="50" t="n">
        <x:f>IF($B466&lt;='Scorecard'!$B$3-74,1,0)</x:f>
        <x:v>1</x:v>
      </x:c>
      <x:c r="I466" s="50" t="n">
        <x:f>IF(COUNTIFS(Events!$B$4:$B$1456,$A466,Events!$C$4:$C$1456,"day60_activity_observed",Events!$D$4:$D$1456,"&gt;="&amp;($B466+60),Events!$D$4:$D$1456,"&lt;="&amp;($B466+74))&gt;0,1,0)</x:f>
        <x:v>1</x:v>
      </x:c>
    </x:row>
    <x:row r="467">
      <x:c r="A467" s="50" t="str">
        <x:f>Members!A467</x:f>
        <x:v>SYN0464</x:v>
      </x:c>
      <x:c r="B467" s="51" t="n">
        <x:f>Members!B467</x:f>
        <x:v>46181</x:v>
      </x:c>
      <x:c r="C467" s="50" t="str">
        <x:f>Members!C467</x:f>
        <x:v>Direct</x:v>
      </x:c>
      <x:c r="D467" s="50" t="n">
        <x:f>IF($B467&lt;='Scorecard'!$B$3-7,1,0)</x:f>
        <x:v>1</x:v>
      </x:c>
      <x:c r="E467" s="50" t="n">
        <x:f>IF(COUNTIFS(Events!$B$4:$B$1456,$A467,Events!$C$4:$C$1456,"coach_contact_completed",Events!$D$4:$D$1456,"&gt;="&amp;($B467+0),Events!$D$4:$D$1456,"&lt;="&amp;($B467+7))&gt;0,1,0)</x:f>
        <x:v>1</x:v>
      </x:c>
      <x:c r="F467" s="50" t="n">
        <x:f>IF($B467&lt;='Scorecard'!$B$3-37,1,0)</x:f>
        <x:v>1</x:v>
      </x:c>
      <x:c r="G467" s="50" t="n">
        <x:f>IF(COUNTIFS(Events!$B$4:$B$1456,$A467,Events!$C$4:$C$1456,"day30_checkin_completed",Events!$D$4:$D$1456,"&gt;="&amp;($B467+28),Events!$D$4:$D$1456,"&lt;="&amp;($B467+37))&gt;0,1,0)</x:f>
        <x:v>1</x:v>
      </x:c>
      <x:c r="H467" s="50" t="n">
        <x:f>IF($B467&lt;='Scorecard'!$B$3-74,1,0)</x:f>
        <x:v>1</x:v>
      </x:c>
      <x:c r="I467" s="50" t="n">
        <x:f>IF(COUNTIFS(Events!$B$4:$B$1456,$A467,Events!$C$4:$C$1456,"day60_activity_observed",Events!$D$4:$D$1456,"&gt;="&amp;($B467+60),Events!$D$4:$D$1456,"&lt;="&amp;($B467+74))&gt;0,1,0)</x:f>
        <x:v>1</x:v>
      </x:c>
    </x:row>
    <x:row r="468">
      <x:c r="A468" s="50" t="str">
        <x:f>Members!A468</x:f>
        <x:v>SYN0465</x:v>
      </x:c>
      <x:c r="B468" s="51" t="n">
        <x:f>Members!B468</x:f>
        <x:v>46253</x:v>
      </x:c>
      <x:c r="C468" s="50" t="str">
        <x:f>Members!C468</x:f>
        <x:v>Direct</x:v>
      </x:c>
      <x:c r="D468" s="50" t="n">
        <x:f>IF($B468&lt;='Scorecard'!$B$3-7,1,0)</x:f>
        <x:v>1</x:v>
      </x:c>
      <x:c r="E468" s="50" t="n">
        <x:f>IF(COUNTIFS(Events!$B$4:$B$1456,$A468,Events!$C$4:$C$1456,"coach_contact_completed",Events!$D$4:$D$1456,"&gt;="&amp;($B468+0),Events!$D$4:$D$1456,"&lt;="&amp;($B468+7))&gt;0,1,0)</x:f>
        <x:v>1</x:v>
      </x:c>
      <x:c r="F468" s="50" t="n">
        <x:f>IF($B468&lt;='Scorecard'!$B$3-37,1,0)</x:f>
        <x:v>1</x:v>
      </x:c>
      <x:c r="G468" s="50" t="n">
        <x:f>IF(COUNTIFS(Events!$B$4:$B$1456,$A468,Events!$C$4:$C$1456,"day30_checkin_completed",Events!$D$4:$D$1456,"&gt;="&amp;($B468+28),Events!$D$4:$D$1456,"&lt;="&amp;($B468+37))&gt;0,1,0)</x:f>
        <x:v>0</x:v>
      </x:c>
      <x:c r="H468" s="50" t="n">
        <x:f>IF($B468&lt;='Scorecard'!$B$3-74,1,0)</x:f>
        <x:v>0</x:v>
      </x:c>
      <x:c r="I468" s="50" t="n">
        <x:f>IF(COUNTIFS(Events!$B$4:$B$1456,$A468,Events!$C$4:$C$1456,"day60_activity_observed",Events!$D$4:$D$1456,"&gt;="&amp;($B468+60),Events!$D$4:$D$1456,"&lt;="&amp;($B468+74))&gt;0,1,0)</x:f>
        <x:v>0</x:v>
      </x:c>
    </x:row>
    <x:row r="469">
      <x:c r="A469" s="50" t="str">
        <x:f>Members!A469</x:f>
        <x:v>SYN0466</x:v>
      </x:c>
      <x:c r="B469" s="51" t="n">
        <x:f>Members!B469</x:f>
        <x:v>46035</x:v>
      </x:c>
      <x:c r="C469" s="50" t="str">
        <x:f>Members!C469</x:f>
        <x:v>Employer</x:v>
      </x:c>
      <x:c r="D469" s="50" t="n">
        <x:f>IF($B469&lt;='Scorecard'!$B$3-7,1,0)</x:f>
        <x:v>1</x:v>
      </x:c>
      <x:c r="E469" s="50" t="n">
        <x:f>IF(COUNTIFS(Events!$B$4:$B$1456,$A469,Events!$C$4:$C$1456,"coach_contact_completed",Events!$D$4:$D$1456,"&gt;="&amp;($B469+0),Events!$D$4:$D$1456,"&lt;="&amp;($B469+7))&gt;0,1,0)</x:f>
        <x:v>1</x:v>
      </x:c>
      <x:c r="F469" s="50" t="n">
        <x:f>IF($B469&lt;='Scorecard'!$B$3-37,1,0)</x:f>
        <x:v>1</x:v>
      </x:c>
      <x:c r="G469" s="50" t="n">
        <x:f>IF(COUNTIFS(Events!$B$4:$B$1456,$A469,Events!$C$4:$C$1456,"day30_checkin_completed",Events!$D$4:$D$1456,"&gt;="&amp;($B469+28),Events!$D$4:$D$1456,"&lt;="&amp;($B469+37))&gt;0,1,0)</x:f>
        <x:v>0</x:v>
      </x:c>
      <x:c r="H469" s="50" t="n">
        <x:f>IF($B469&lt;='Scorecard'!$B$3-74,1,0)</x:f>
        <x:v>1</x:v>
      </x:c>
      <x:c r="I469" s="50" t="n">
        <x:f>IF(COUNTIFS(Events!$B$4:$B$1456,$A469,Events!$C$4:$C$1456,"day60_activity_observed",Events!$D$4:$D$1456,"&gt;="&amp;($B469+60),Events!$D$4:$D$1456,"&lt;="&amp;($B469+74))&gt;0,1,0)</x:f>
        <x:v>0</x:v>
      </x:c>
    </x:row>
    <x:row r="470">
      <x:c r="A470" s="50" t="str">
        <x:f>Members!A470</x:f>
        <x:v>SYN0467</x:v>
      </x:c>
      <x:c r="B470" s="51" t="n">
        <x:f>Members!B470</x:f>
        <x:v>46253</x:v>
      </x:c>
      <x:c r="C470" s="50" t="str">
        <x:f>Members!C470</x:f>
        <x:v>Employer</x:v>
      </x:c>
      <x:c r="D470" s="50" t="n">
        <x:f>IF($B470&lt;='Scorecard'!$B$3-7,1,0)</x:f>
        <x:v>1</x:v>
      </x:c>
      <x:c r="E470" s="50" t="n">
        <x:f>IF(COUNTIFS(Events!$B$4:$B$1456,$A470,Events!$C$4:$C$1456,"coach_contact_completed",Events!$D$4:$D$1456,"&gt;="&amp;($B470+0),Events!$D$4:$D$1456,"&lt;="&amp;($B470+7))&gt;0,1,0)</x:f>
        <x:v>0</x:v>
      </x:c>
      <x:c r="F470" s="50" t="n">
        <x:f>IF($B470&lt;='Scorecard'!$B$3-37,1,0)</x:f>
        <x:v>1</x:v>
      </x:c>
      <x:c r="G470" s="50" t="n">
        <x:f>IF(COUNTIFS(Events!$B$4:$B$1456,$A470,Events!$C$4:$C$1456,"day30_checkin_completed",Events!$D$4:$D$1456,"&gt;="&amp;($B470+28),Events!$D$4:$D$1456,"&lt;="&amp;($B470+37))&gt;0,1,0)</x:f>
        <x:v>1</x:v>
      </x:c>
      <x:c r="H470" s="50" t="n">
        <x:f>IF($B470&lt;='Scorecard'!$B$3-74,1,0)</x:f>
        <x:v>0</x:v>
      </x:c>
      <x:c r="I470" s="50" t="n">
        <x:f>IF(COUNTIFS(Events!$B$4:$B$1456,$A470,Events!$C$4:$C$1456,"day60_activity_observed",Events!$D$4:$D$1456,"&gt;="&amp;($B470+60),Events!$D$4:$D$1456,"&lt;="&amp;($B470+74))&gt;0,1,0)</x:f>
        <x:v>0</x:v>
      </x:c>
    </x:row>
    <x:row r="471">
      <x:c r="A471" s="50" t="str">
        <x:f>Members!A471</x:f>
        <x:v>SYN0468</x:v>
      </x:c>
      <x:c r="B471" s="51" t="n">
        <x:f>Members!B471</x:f>
        <x:v>46134</x:v>
      </x:c>
      <x:c r="C471" s="50" t="str">
        <x:f>Members!C471</x:f>
        <x:v>Employer</x:v>
      </x:c>
      <x:c r="D471" s="50" t="n">
        <x:f>IF($B471&lt;='Scorecard'!$B$3-7,1,0)</x:f>
        <x:v>1</x:v>
      </x:c>
      <x:c r="E471" s="50" t="n">
        <x:f>IF(COUNTIFS(Events!$B$4:$B$1456,$A471,Events!$C$4:$C$1456,"coach_contact_completed",Events!$D$4:$D$1456,"&gt;="&amp;($B471+0),Events!$D$4:$D$1456,"&lt;="&amp;($B471+7))&gt;0,1,0)</x:f>
        <x:v>1</x:v>
      </x:c>
      <x:c r="F471" s="50" t="n">
        <x:f>IF($B471&lt;='Scorecard'!$B$3-37,1,0)</x:f>
        <x:v>1</x:v>
      </x:c>
      <x:c r="G471" s="50" t="n">
        <x:f>IF(COUNTIFS(Events!$B$4:$B$1456,$A471,Events!$C$4:$C$1456,"day30_checkin_completed",Events!$D$4:$D$1456,"&gt;="&amp;($B471+28),Events!$D$4:$D$1456,"&lt;="&amp;($B471+37))&gt;0,1,0)</x:f>
        <x:v>1</x:v>
      </x:c>
      <x:c r="H471" s="50" t="n">
        <x:f>IF($B471&lt;='Scorecard'!$B$3-74,1,0)</x:f>
        <x:v>1</x:v>
      </x:c>
      <x:c r="I471" s="50" t="n">
        <x:f>IF(COUNTIFS(Events!$B$4:$B$1456,$A471,Events!$C$4:$C$1456,"day60_activity_observed",Events!$D$4:$D$1456,"&gt;="&amp;($B471+60),Events!$D$4:$D$1456,"&lt;="&amp;($B471+74))&gt;0,1,0)</x:f>
        <x:v>1</x:v>
      </x:c>
    </x:row>
    <x:row r="472">
      <x:c r="A472" s="50" t="str">
        <x:f>Members!A472</x:f>
        <x:v>SYN0469</x:v>
      </x:c>
      <x:c r="B472" s="51" t="n">
        <x:f>Members!B472</x:f>
        <x:v>46064</x:v>
      </x:c>
      <x:c r="C472" s="50" t="str">
        <x:f>Members!C472</x:f>
        <x:v>Employer</x:v>
      </x:c>
      <x:c r="D472" s="50" t="n">
        <x:f>IF($B472&lt;='Scorecard'!$B$3-7,1,0)</x:f>
        <x:v>1</x:v>
      </x:c>
      <x:c r="E472" s="50" t="n">
        <x:f>IF(COUNTIFS(Events!$B$4:$B$1456,$A472,Events!$C$4:$C$1456,"coach_contact_completed",Events!$D$4:$D$1456,"&gt;="&amp;($B472+0),Events!$D$4:$D$1456,"&lt;="&amp;($B472+7))&gt;0,1,0)</x:f>
        <x:v>1</x:v>
      </x:c>
      <x:c r="F472" s="50" t="n">
        <x:f>IF($B472&lt;='Scorecard'!$B$3-37,1,0)</x:f>
        <x:v>1</x:v>
      </x:c>
      <x:c r="G472" s="50" t="n">
        <x:f>IF(COUNTIFS(Events!$B$4:$B$1456,$A472,Events!$C$4:$C$1456,"day30_checkin_completed",Events!$D$4:$D$1456,"&gt;="&amp;($B472+28),Events!$D$4:$D$1456,"&lt;="&amp;($B472+37))&gt;0,1,0)</x:f>
        <x:v>1</x:v>
      </x:c>
      <x:c r="H472" s="50" t="n">
        <x:f>IF($B472&lt;='Scorecard'!$B$3-74,1,0)</x:f>
        <x:v>1</x:v>
      </x:c>
      <x:c r="I472" s="50" t="n">
        <x:f>IF(COUNTIFS(Events!$B$4:$B$1456,$A472,Events!$C$4:$C$1456,"day60_activity_observed",Events!$D$4:$D$1456,"&gt;="&amp;($B472+60),Events!$D$4:$D$1456,"&lt;="&amp;($B472+74))&gt;0,1,0)</x:f>
        <x:v>1</x:v>
      </x:c>
    </x:row>
    <x:row r="473">
      <x:c r="A473" s="50" t="str">
        <x:f>Members!A473</x:f>
        <x:v>SYN0470</x:v>
      </x:c>
      <x:c r="B473" s="51" t="n">
        <x:f>Members!B473</x:f>
        <x:v>46200</x:v>
      </x:c>
      <x:c r="C473" s="50" t="str">
        <x:f>Members!C473</x:f>
        <x:v>Direct</x:v>
      </x:c>
      <x:c r="D473" s="50" t="n">
        <x:f>IF($B473&lt;='Scorecard'!$B$3-7,1,0)</x:f>
        <x:v>1</x:v>
      </x:c>
      <x:c r="E473" s="50" t="n">
        <x:f>IF(COUNTIFS(Events!$B$4:$B$1456,$A473,Events!$C$4:$C$1456,"coach_contact_completed",Events!$D$4:$D$1456,"&gt;="&amp;($B473+0),Events!$D$4:$D$1456,"&lt;="&amp;($B473+7))&gt;0,1,0)</x:f>
        <x:v>1</x:v>
      </x:c>
      <x:c r="F473" s="50" t="n">
        <x:f>IF($B473&lt;='Scorecard'!$B$3-37,1,0)</x:f>
        <x:v>1</x:v>
      </x:c>
      <x:c r="G473" s="50" t="n">
        <x:f>IF(COUNTIFS(Events!$B$4:$B$1456,$A473,Events!$C$4:$C$1456,"day30_checkin_completed",Events!$D$4:$D$1456,"&gt;="&amp;($B473+28),Events!$D$4:$D$1456,"&lt;="&amp;($B473+37))&gt;0,1,0)</x:f>
        <x:v>1</x:v>
      </x:c>
      <x:c r="H473" s="50" t="n">
        <x:f>IF($B473&lt;='Scorecard'!$B$3-74,1,0)</x:f>
        <x:v>1</x:v>
      </x:c>
      <x:c r="I473" s="50" t="n">
        <x:f>IF(COUNTIFS(Events!$B$4:$B$1456,$A473,Events!$C$4:$C$1456,"day60_activity_observed",Events!$D$4:$D$1456,"&gt;="&amp;($B473+60),Events!$D$4:$D$1456,"&lt;="&amp;($B473+74))&gt;0,1,0)</x:f>
        <x:v>1</x:v>
      </x:c>
    </x:row>
    <x:row r="474">
      <x:c r="A474" s="50" t="str">
        <x:f>Members!A474</x:f>
        <x:v>SYN0471</x:v>
      </x:c>
      <x:c r="B474" s="51" t="n">
        <x:f>Members!B474</x:f>
        <x:v>46225</x:v>
      </x:c>
      <x:c r="C474" s="50" t="str">
        <x:f>Members!C474</x:f>
        <x:v>Employer</x:v>
      </x:c>
      <x:c r="D474" s="50" t="n">
        <x:f>IF($B474&lt;='Scorecard'!$B$3-7,1,0)</x:f>
        <x:v>1</x:v>
      </x:c>
      <x:c r="E474" s="50" t="n">
        <x:f>IF(COUNTIFS(Events!$B$4:$B$1456,$A474,Events!$C$4:$C$1456,"coach_contact_completed",Events!$D$4:$D$1456,"&gt;="&amp;($B474+0),Events!$D$4:$D$1456,"&lt;="&amp;($B474+7))&gt;0,1,0)</x:f>
        <x:v>1</x:v>
      </x:c>
      <x:c r="F474" s="50" t="n">
        <x:f>IF($B474&lt;='Scorecard'!$B$3-37,1,0)</x:f>
        <x:v>1</x:v>
      </x:c>
      <x:c r="G474" s="50" t="n">
        <x:f>IF(COUNTIFS(Events!$B$4:$B$1456,$A474,Events!$C$4:$C$1456,"day30_checkin_completed",Events!$D$4:$D$1456,"&gt;="&amp;($B474+28),Events!$D$4:$D$1456,"&lt;="&amp;($B474+37))&gt;0,1,0)</x:f>
        <x:v>0</x:v>
      </x:c>
      <x:c r="H474" s="50" t="n">
        <x:f>IF($B474&lt;='Scorecard'!$B$3-74,1,0)</x:f>
        <x:v>0</x:v>
      </x:c>
      <x:c r="I474" s="50" t="n">
        <x:f>IF(COUNTIFS(Events!$B$4:$B$1456,$A474,Events!$C$4:$C$1456,"day60_activity_observed",Events!$D$4:$D$1456,"&gt;="&amp;($B474+60),Events!$D$4:$D$1456,"&lt;="&amp;($B474+74))&gt;0,1,0)</x:f>
        <x:v>0</x:v>
      </x:c>
    </x:row>
    <x:row r="475">
      <x:c r="A475" s="50" t="str">
        <x:f>Members!A475</x:f>
        <x:v>SYN0472</x:v>
      </x:c>
      <x:c r="B475" s="51" t="n">
        <x:f>Members!B475</x:f>
        <x:v>46128</x:v>
      </x:c>
      <x:c r="C475" s="50" t="str">
        <x:f>Members!C475</x:f>
        <x:v>Direct</x:v>
      </x:c>
      <x:c r="D475" s="50" t="n">
        <x:f>IF($B475&lt;='Scorecard'!$B$3-7,1,0)</x:f>
        <x:v>1</x:v>
      </x:c>
      <x:c r="E475" s="50" t="n">
        <x:f>IF(COUNTIFS(Events!$B$4:$B$1456,$A475,Events!$C$4:$C$1456,"coach_contact_completed",Events!$D$4:$D$1456,"&gt;="&amp;($B475+0),Events!$D$4:$D$1456,"&lt;="&amp;($B475+7))&gt;0,1,0)</x:f>
        <x:v>1</x:v>
      </x:c>
      <x:c r="F475" s="50" t="n">
        <x:f>IF($B475&lt;='Scorecard'!$B$3-37,1,0)</x:f>
        <x:v>1</x:v>
      </x:c>
      <x:c r="G475" s="50" t="n">
        <x:f>IF(COUNTIFS(Events!$B$4:$B$1456,$A475,Events!$C$4:$C$1456,"day30_checkin_completed",Events!$D$4:$D$1456,"&gt;="&amp;($B475+28),Events!$D$4:$D$1456,"&lt;="&amp;($B475+37))&gt;0,1,0)</x:f>
        <x:v>1</x:v>
      </x:c>
      <x:c r="H475" s="50" t="n">
        <x:f>IF($B475&lt;='Scorecard'!$B$3-74,1,0)</x:f>
        <x:v>1</x:v>
      </x:c>
      <x:c r="I475" s="50" t="n">
        <x:f>IF(COUNTIFS(Events!$B$4:$B$1456,$A475,Events!$C$4:$C$1456,"day60_activity_observed",Events!$D$4:$D$1456,"&gt;="&amp;($B475+60),Events!$D$4:$D$1456,"&lt;="&amp;($B475+74))&gt;0,1,0)</x:f>
        <x:v>0</x:v>
      </x:c>
    </x:row>
    <x:row r="476">
      <x:c r="A476" s="50" t="str">
        <x:f>Members!A476</x:f>
        <x:v>SYN0473</x:v>
      </x:c>
      <x:c r="B476" s="51" t="n">
        <x:f>Members!B476</x:f>
        <x:v>46108</x:v>
      </x:c>
      <x:c r="C476" s="50" t="str">
        <x:f>Members!C476</x:f>
        <x:v>Direct</x:v>
      </x:c>
      <x:c r="D476" s="50" t="n">
        <x:f>IF($B476&lt;='Scorecard'!$B$3-7,1,0)</x:f>
        <x:v>1</x:v>
      </x:c>
      <x:c r="E476" s="50" t="n">
        <x:f>IF(COUNTIFS(Events!$B$4:$B$1456,$A476,Events!$C$4:$C$1456,"coach_contact_completed",Events!$D$4:$D$1456,"&gt;="&amp;($B476+0),Events!$D$4:$D$1456,"&lt;="&amp;($B476+7))&gt;0,1,0)</x:f>
        <x:v>1</x:v>
      </x:c>
      <x:c r="F476" s="50" t="n">
        <x:f>IF($B476&lt;='Scorecard'!$B$3-37,1,0)</x:f>
        <x:v>1</x:v>
      </x:c>
      <x:c r="G476" s="50" t="n">
        <x:f>IF(COUNTIFS(Events!$B$4:$B$1456,$A476,Events!$C$4:$C$1456,"day30_checkin_completed",Events!$D$4:$D$1456,"&gt;="&amp;($B476+28),Events!$D$4:$D$1456,"&lt;="&amp;($B476+37))&gt;0,1,0)</x:f>
        <x:v>1</x:v>
      </x:c>
      <x:c r="H476" s="50" t="n">
        <x:f>IF($B476&lt;='Scorecard'!$B$3-74,1,0)</x:f>
        <x:v>1</x:v>
      </x:c>
      <x:c r="I476" s="50" t="n">
        <x:f>IF(COUNTIFS(Events!$B$4:$B$1456,$A476,Events!$C$4:$C$1456,"day60_activity_observed",Events!$D$4:$D$1456,"&gt;="&amp;($B476+60),Events!$D$4:$D$1456,"&lt;="&amp;($B476+74))&gt;0,1,0)</x:f>
        <x:v>1</x:v>
      </x:c>
    </x:row>
    <x:row r="477">
      <x:c r="A477" s="50" t="str">
        <x:f>Members!A477</x:f>
        <x:v>SYN0474</x:v>
      </x:c>
      <x:c r="B477" s="51" t="n">
        <x:f>Members!B477</x:f>
        <x:v>46076</x:v>
      </x:c>
      <x:c r="C477" s="50" t="str">
        <x:f>Members!C477</x:f>
        <x:v>Direct</x:v>
      </x:c>
      <x:c r="D477" s="50" t="n">
        <x:f>IF($B477&lt;='Scorecard'!$B$3-7,1,0)</x:f>
        <x:v>1</x:v>
      </x:c>
      <x:c r="E477" s="50" t="n">
        <x:f>IF(COUNTIFS(Events!$B$4:$B$1456,$A477,Events!$C$4:$C$1456,"coach_contact_completed",Events!$D$4:$D$1456,"&gt;="&amp;($B477+0),Events!$D$4:$D$1456,"&lt;="&amp;($B477+7))&gt;0,1,0)</x:f>
        <x:v>1</x:v>
      </x:c>
      <x:c r="F477" s="50" t="n">
        <x:f>IF($B477&lt;='Scorecard'!$B$3-37,1,0)</x:f>
        <x:v>1</x:v>
      </x:c>
      <x:c r="G477" s="50" t="n">
        <x:f>IF(COUNTIFS(Events!$B$4:$B$1456,$A477,Events!$C$4:$C$1456,"day30_checkin_completed",Events!$D$4:$D$1456,"&gt;="&amp;($B477+28),Events!$D$4:$D$1456,"&lt;="&amp;($B477+37))&gt;0,1,0)</x:f>
        <x:v>0</x:v>
      </x:c>
      <x:c r="H477" s="50" t="n">
        <x:f>IF($B477&lt;='Scorecard'!$B$3-74,1,0)</x:f>
        <x:v>1</x:v>
      </x:c>
      <x:c r="I477" s="50" t="n">
        <x:f>IF(COUNTIFS(Events!$B$4:$B$1456,$A477,Events!$C$4:$C$1456,"day60_activity_observed",Events!$D$4:$D$1456,"&gt;="&amp;($B477+60),Events!$D$4:$D$1456,"&lt;="&amp;($B477+74))&gt;0,1,0)</x:f>
        <x:v>1</x:v>
      </x:c>
    </x:row>
    <x:row r="478">
      <x:c r="A478" s="50" t="str">
        <x:f>Members!A478</x:f>
        <x:v>SYN0475</x:v>
      </x:c>
      <x:c r="B478" s="51" t="n">
        <x:f>Members!B478</x:f>
        <x:v>46262</x:v>
      </x:c>
      <x:c r="C478" s="50" t="str">
        <x:f>Members!C478</x:f>
        <x:v>Direct</x:v>
      </x:c>
      <x:c r="D478" s="50" t="n">
        <x:f>IF($B478&lt;='Scorecard'!$B$3-7,1,0)</x:f>
        <x:v>1</x:v>
      </x:c>
      <x:c r="E478" s="50" t="n">
        <x:f>IF(COUNTIFS(Events!$B$4:$B$1456,$A478,Events!$C$4:$C$1456,"coach_contact_completed",Events!$D$4:$D$1456,"&gt;="&amp;($B478+0),Events!$D$4:$D$1456,"&lt;="&amp;($B478+7))&gt;0,1,0)</x:f>
        <x:v>1</x:v>
      </x:c>
      <x:c r="F478" s="50" t="n">
        <x:f>IF($B478&lt;='Scorecard'!$B$3-37,1,0)</x:f>
        <x:v>0</x:v>
      </x:c>
      <x:c r="G478" s="50" t="n">
        <x:f>IF(COUNTIFS(Events!$B$4:$B$1456,$A478,Events!$C$4:$C$1456,"day30_checkin_completed",Events!$D$4:$D$1456,"&gt;="&amp;($B478+28),Events!$D$4:$D$1456,"&lt;="&amp;($B478+37))&gt;0,1,0)</x:f>
        <x:v>1</x:v>
      </x:c>
      <x:c r="H478" s="50" t="n">
        <x:f>IF($B478&lt;='Scorecard'!$B$3-74,1,0)</x:f>
        <x:v>0</x:v>
      </x:c>
      <x:c r="I478" s="50" t="n">
        <x:f>IF(COUNTIFS(Events!$B$4:$B$1456,$A478,Events!$C$4:$C$1456,"day60_activity_observed",Events!$D$4:$D$1456,"&gt;="&amp;($B478+60),Events!$D$4:$D$1456,"&lt;="&amp;($B478+74))&gt;0,1,0)</x:f>
        <x:v>0</x:v>
      </x:c>
    </x:row>
    <x:row r="479">
      <x:c r="A479" s="50" t="str">
        <x:f>Members!A479</x:f>
        <x:v>SYN0476</x:v>
      </x:c>
      <x:c r="B479" s="51" t="n">
        <x:f>Members!B479</x:f>
        <x:v>46094</x:v>
      </x:c>
      <x:c r="C479" s="50" t="str">
        <x:f>Members!C479</x:f>
        <x:v>Employer</x:v>
      </x:c>
      <x:c r="D479" s="50" t="n">
        <x:f>IF($B479&lt;='Scorecard'!$B$3-7,1,0)</x:f>
        <x:v>1</x:v>
      </x:c>
      <x:c r="E479" s="50" t="n">
        <x:f>IF(COUNTIFS(Events!$B$4:$B$1456,$A479,Events!$C$4:$C$1456,"coach_contact_completed",Events!$D$4:$D$1456,"&gt;="&amp;($B479+0),Events!$D$4:$D$1456,"&lt;="&amp;($B479+7))&gt;0,1,0)</x:f>
        <x:v>1</x:v>
      </x:c>
      <x:c r="F479" s="50" t="n">
        <x:f>IF($B479&lt;='Scorecard'!$B$3-37,1,0)</x:f>
        <x:v>1</x:v>
      </x:c>
      <x:c r="G479" s="50" t="n">
        <x:f>IF(COUNTIFS(Events!$B$4:$B$1456,$A479,Events!$C$4:$C$1456,"day30_checkin_completed",Events!$D$4:$D$1456,"&gt;="&amp;($B479+28),Events!$D$4:$D$1456,"&lt;="&amp;($B479+37))&gt;0,1,0)</x:f>
        <x:v>1</x:v>
      </x:c>
      <x:c r="H479" s="50" t="n">
        <x:f>IF($B479&lt;='Scorecard'!$B$3-74,1,0)</x:f>
        <x:v>1</x:v>
      </x:c>
      <x:c r="I479" s="50" t="n">
        <x:f>IF(COUNTIFS(Events!$B$4:$B$1456,$A479,Events!$C$4:$C$1456,"day60_activity_observed",Events!$D$4:$D$1456,"&gt;="&amp;($B479+60),Events!$D$4:$D$1456,"&lt;="&amp;($B479+74))&gt;0,1,0)</x:f>
        <x:v>1</x:v>
      </x:c>
    </x:row>
    <x:row r="480">
      <x:c r="A480" s="50" t="str">
        <x:f>Members!A480</x:f>
        <x:v>SYN0477</x:v>
      </x:c>
      <x:c r="B480" s="51" t="n">
        <x:f>Members!B480</x:f>
        <x:v>46070</x:v>
      </x:c>
      <x:c r="C480" s="50" t="str">
        <x:f>Members!C480</x:f>
        <x:v>Direct</x:v>
      </x:c>
      <x:c r="D480" s="50" t="n">
        <x:f>IF($B480&lt;='Scorecard'!$B$3-7,1,0)</x:f>
        <x:v>1</x:v>
      </x:c>
      <x:c r="E480" s="50" t="n">
        <x:f>IF(COUNTIFS(Events!$B$4:$B$1456,$A480,Events!$C$4:$C$1456,"coach_contact_completed",Events!$D$4:$D$1456,"&gt;="&amp;($B480+0),Events!$D$4:$D$1456,"&lt;="&amp;($B480+7))&gt;0,1,0)</x:f>
        <x:v>1</x:v>
      </x:c>
      <x:c r="F480" s="50" t="n">
        <x:f>IF($B480&lt;='Scorecard'!$B$3-37,1,0)</x:f>
        <x:v>1</x:v>
      </x:c>
      <x:c r="G480" s="50" t="n">
        <x:f>IF(COUNTIFS(Events!$B$4:$B$1456,$A480,Events!$C$4:$C$1456,"day30_checkin_completed",Events!$D$4:$D$1456,"&gt;="&amp;($B480+28),Events!$D$4:$D$1456,"&lt;="&amp;($B480+37))&gt;0,1,0)</x:f>
        <x:v>1</x:v>
      </x:c>
      <x:c r="H480" s="50" t="n">
        <x:f>IF($B480&lt;='Scorecard'!$B$3-74,1,0)</x:f>
        <x:v>1</x:v>
      </x:c>
      <x:c r="I480" s="50" t="n">
        <x:f>IF(COUNTIFS(Events!$B$4:$B$1456,$A480,Events!$C$4:$C$1456,"day60_activity_observed",Events!$D$4:$D$1456,"&gt;="&amp;($B480+60),Events!$D$4:$D$1456,"&lt;="&amp;($B480+74))&gt;0,1,0)</x:f>
        <x:v>1</x:v>
      </x:c>
    </x:row>
    <x:row r="481">
      <x:c r="A481" s="50" t="str">
        <x:f>Members!A481</x:f>
        <x:v>SYN0478</x:v>
      </x:c>
      <x:c r="B481" s="51" t="n">
        <x:f>Members!B481</x:f>
        <x:v>46132</x:v>
      </x:c>
      <x:c r="C481" s="50" t="str">
        <x:f>Members!C481</x:f>
        <x:v>Employer</x:v>
      </x:c>
      <x:c r="D481" s="50" t="n">
        <x:f>IF($B481&lt;='Scorecard'!$B$3-7,1,0)</x:f>
        <x:v>1</x:v>
      </x:c>
      <x:c r="E481" s="50" t="n">
        <x:f>IF(COUNTIFS(Events!$B$4:$B$1456,$A481,Events!$C$4:$C$1456,"coach_contact_completed",Events!$D$4:$D$1456,"&gt;="&amp;($B481+0),Events!$D$4:$D$1456,"&lt;="&amp;($B481+7))&gt;0,1,0)</x:f>
        <x:v>1</x:v>
      </x:c>
      <x:c r="F481" s="50" t="n">
        <x:f>IF($B481&lt;='Scorecard'!$B$3-37,1,0)</x:f>
        <x:v>1</x:v>
      </x:c>
      <x:c r="G481" s="50" t="n">
        <x:f>IF(COUNTIFS(Events!$B$4:$B$1456,$A481,Events!$C$4:$C$1456,"day30_checkin_completed",Events!$D$4:$D$1456,"&gt;="&amp;($B481+28),Events!$D$4:$D$1456,"&lt;="&amp;($B481+37))&gt;0,1,0)</x:f>
        <x:v>1</x:v>
      </x:c>
      <x:c r="H481" s="50" t="n">
        <x:f>IF($B481&lt;='Scorecard'!$B$3-74,1,0)</x:f>
        <x:v>1</x:v>
      </x:c>
      <x:c r="I481" s="50" t="n">
        <x:f>IF(COUNTIFS(Events!$B$4:$B$1456,$A481,Events!$C$4:$C$1456,"day60_activity_observed",Events!$D$4:$D$1456,"&gt;="&amp;($B481+60),Events!$D$4:$D$1456,"&lt;="&amp;($B481+74))&gt;0,1,0)</x:f>
        <x:v>1</x:v>
      </x:c>
    </x:row>
    <x:row r="482">
      <x:c r="A482" s="50" t="str">
        <x:f>Members!A482</x:f>
        <x:v>SYN0479</x:v>
      </x:c>
      <x:c r="B482" s="51" t="n">
        <x:f>Members!B482</x:f>
        <x:v>46038</x:v>
      </x:c>
      <x:c r="C482" s="50" t="str">
        <x:f>Members!C482</x:f>
        <x:v>Employer</x:v>
      </x:c>
      <x:c r="D482" s="50" t="n">
        <x:f>IF($B482&lt;='Scorecard'!$B$3-7,1,0)</x:f>
        <x:v>1</x:v>
      </x:c>
      <x:c r="E482" s="50" t="n">
        <x:f>IF(COUNTIFS(Events!$B$4:$B$1456,$A482,Events!$C$4:$C$1456,"coach_contact_completed",Events!$D$4:$D$1456,"&gt;="&amp;($B482+0),Events!$D$4:$D$1456,"&lt;="&amp;($B482+7))&gt;0,1,0)</x:f>
        <x:v>0</x:v>
      </x:c>
      <x:c r="F482" s="50" t="n">
        <x:f>IF($B482&lt;='Scorecard'!$B$3-37,1,0)</x:f>
        <x:v>1</x:v>
      </x:c>
      <x:c r="G482" s="50" t="n">
        <x:f>IF(COUNTIFS(Events!$B$4:$B$1456,$A482,Events!$C$4:$C$1456,"day30_checkin_completed",Events!$D$4:$D$1456,"&gt;="&amp;($B482+28),Events!$D$4:$D$1456,"&lt;="&amp;($B482+37))&gt;0,1,0)</x:f>
        <x:v>1</x:v>
      </x:c>
      <x:c r="H482" s="50" t="n">
        <x:f>IF($B482&lt;='Scorecard'!$B$3-74,1,0)</x:f>
        <x:v>1</x:v>
      </x:c>
      <x:c r="I482" s="50" t="n">
        <x:f>IF(COUNTIFS(Events!$B$4:$B$1456,$A482,Events!$C$4:$C$1456,"day60_activity_observed",Events!$D$4:$D$1456,"&gt;="&amp;($B482+60),Events!$D$4:$D$1456,"&lt;="&amp;($B482+74))&gt;0,1,0)</x:f>
        <x:v>1</x:v>
      </x:c>
    </x:row>
    <x:row r="483">
      <x:c r="A483" s="50" t="str">
        <x:f>Members!A483</x:f>
        <x:v>SYN0480</x:v>
      </x:c>
      <x:c r="B483" s="51" t="n">
        <x:f>Members!B483</x:f>
        <x:v>46090</x:v>
      </x:c>
      <x:c r="C483" s="50" t="str">
        <x:f>Members!C483</x:f>
        <x:v>Direct</x:v>
      </x:c>
      <x:c r="D483" s="50" t="n">
        <x:f>IF($B483&lt;='Scorecard'!$B$3-7,1,0)</x:f>
        <x:v>1</x:v>
      </x:c>
      <x:c r="E483" s="50" t="n">
        <x:f>IF(COUNTIFS(Events!$B$4:$B$1456,$A483,Events!$C$4:$C$1456,"coach_contact_completed",Events!$D$4:$D$1456,"&gt;="&amp;($B483+0),Events!$D$4:$D$1456,"&lt;="&amp;($B483+7))&gt;0,1,0)</x:f>
        <x:v>1</x:v>
      </x:c>
      <x:c r="F483" s="50" t="n">
        <x:f>IF($B483&lt;='Scorecard'!$B$3-37,1,0)</x:f>
        <x:v>1</x:v>
      </x:c>
      <x:c r="G483" s="50" t="n">
        <x:f>IF(COUNTIFS(Events!$B$4:$B$1456,$A483,Events!$C$4:$C$1456,"day30_checkin_completed",Events!$D$4:$D$1456,"&gt;="&amp;($B483+28),Events!$D$4:$D$1456,"&lt;="&amp;($B483+37))&gt;0,1,0)</x:f>
        <x:v>1</x:v>
      </x:c>
      <x:c r="H483" s="50" t="n">
        <x:f>IF($B483&lt;='Scorecard'!$B$3-74,1,0)</x:f>
        <x:v>1</x:v>
      </x:c>
      <x:c r="I483" s="50" t="n">
        <x:f>IF(COUNTIFS(Events!$B$4:$B$1456,$A483,Events!$C$4:$C$1456,"day60_activity_observed",Events!$D$4:$D$1456,"&gt;="&amp;($B483+60),Events!$D$4:$D$1456,"&lt;="&amp;($B483+74))&gt;0,1,0)</x:f>
        <x:v>1</x:v>
      </x:c>
    </x:row>
    <x:row r="484">
      <x:c r="A484" s="50" t="str">
        <x:f>Members!A484</x:f>
        <x:v>SYN0481</x:v>
      </x:c>
      <x:c r="B484" s="51" t="n">
        <x:f>Members!B484</x:f>
        <x:v>46030</x:v>
      </x:c>
      <x:c r="C484" s="50" t="str">
        <x:f>Members!C484</x:f>
        <x:v>Direct</x:v>
      </x:c>
      <x:c r="D484" s="50" t="n">
        <x:f>IF($B484&lt;='Scorecard'!$B$3-7,1,0)</x:f>
        <x:v>1</x:v>
      </x:c>
      <x:c r="E484" s="50" t="n">
        <x:f>IF(COUNTIFS(Events!$B$4:$B$1456,$A484,Events!$C$4:$C$1456,"coach_contact_completed",Events!$D$4:$D$1456,"&gt;="&amp;($B484+0),Events!$D$4:$D$1456,"&lt;="&amp;($B484+7))&gt;0,1,0)</x:f>
        <x:v>0</x:v>
      </x:c>
      <x:c r="F484" s="50" t="n">
        <x:f>IF($B484&lt;='Scorecard'!$B$3-37,1,0)</x:f>
        <x:v>1</x:v>
      </x:c>
      <x:c r="G484" s="50" t="n">
        <x:f>IF(COUNTIFS(Events!$B$4:$B$1456,$A484,Events!$C$4:$C$1456,"day30_checkin_completed",Events!$D$4:$D$1456,"&gt;="&amp;($B484+28),Events!$D$4:$D$1456,"&lt;="&amp;($B484+37))&gt;0,1,0)</x:f>
        <x:v>0</x:v>
      </x:c>
      <x:c r="H484" s="50" t="n">
        <x:f>IF($B484&lt;='Scorecard'!$B$3-74,1,0)</x:f>
        <x:v>1</x:v>
      </x:c>
      <x:c r="I484" s="50" t="n">
        <x:f>IF(COUNTIFS(Events!$B$4:$B$1456,$A484,Events!$C$4:$C$1456,"day60_activity_observed",Events!$D$4:$D$1456,"&gt;="&amp;($B484+60),Events!$D$4:$D$1456,"&lt;="&amp;($B484+74))&gt;0,1,0)</x:f>
        <x:v>0</x:v>
      </x:c>
    </x:row>
    <x:row r="485">
      <x:c r="A485" s="50" t="str">
        <x:f>Members!A485</x:f>
        <x:v>SYN0482</x:v>
      </x:c>
      <x:c r="B485" s="51" t="n">
        <x:f>Members!B485</x:f>
        <x:v>46075</x:v>
      </x:c>
      <x:c r="C485" s="50" t="str">
        <x:f>Members!C485</x:f>
        <x:v>Direct</x:v>
      </x:c>
      <x:c r="D485" s="50" t="n">
        <x:f>IF($B485&lt;='Scorecard'!$B$3-7,1,0)</x:f>
        <x:v>1</x:v>
      </x:c>
      <x:c r="E485" s="50" t="n">
        <x:f>IF(COUNTIFS(Events!$B$4:$B$1456,$A485,Events!$C$4:$C$1456,"coach_contact_completed",Events!$D$4:$D$1456,"&gt;="&amp;($B485+0),Events!$D$4:$D$1456,"&lt;="&amp;($B485+7))&gt;0,1,0)</x:f>
        <x:v>0</x:v>
      </x:c>
      <x:c r="F485" s="50" t="n">
        <x:f>IF($B485&lt;='Scorecard'!$B$3-37,1,0)</x:f>
        <x:v>1</x:v>
      </x:c>
      <x:c r="G485" s="50" t="n">
        <x:f>IF(COUNTIFS(Events!$B$4:$B$1456,$A485,Events!$C$4:$C$1456,"day30_checkin_completed",Events!$D$4:$D$1456,"&gt;="&amp;($B485+28),Events!$D$4:$D$1456,"&lt;="&amp;($B485+37))&gt;0,1,0)</x:f>
        <x:v>0</x:v>
      </x:c>
      <x:c r="H485" s="50" t="n">
        <x:f>IF($B485&lt;='Scorecard'!$B$3-74,1,0)</x:f>
        <x:v>1</x:v>
      </x:c>
      <x:c r="I485" s="50" t="n">
        <x:f>IF(COUNTIFS(Events!$B$4:$B$1456,$A485,Events!$C$4:$C$1456,"day60_activity_observed",Events!$D$4:$D$1456,"&gt;="&amp;($B485+60),Events!$D$4:$D$1456,"&lt;="&amp;($B485+74))&gt;0,1,0)</x:f>
        <x:v>0</x:v>
      </x:c>
    </x:row>
    <x:row r="486">
      <x:c r="A486" s="50" t="str">
        <x:f>Members!A486</x:f>
        <x:v>SYN0483</x:v>
      </x:c>
      <x:c r="B486" s="51" t="n">
        <x:f>Members!B486</x:f>
        <x:v>46265</x:v>
      </x:c>
      <x:c r="C486" s="50" t="str">
        <x:f>Members!C486</x:f>
        <x:v>Direct</x:v>
      </x:c>
      <x:c r="D486" s="50" t="n">
        <x:f>IF($B486&lt;='Scorecard'!$B$3-7,1,0)</x:f>
        <x:v>1</x:v>
      </x:c>
      <x:c r="E486" s="50" t="n">
        <x:f>IF(COUNTIFS(Events!$B$4:$B$1456,$A486,Events!$C$4:$C$1456,"coach_contact_completed",Events!$D$4:$D$1456,"&gt;="&amp;($B486+0),Events!$D$4:$D$1456,"&lt;="&amp;($B486+7))&gt;0,1,0)</x:f>
        <x:v>1</x:v>
      </x:c>
      <x:c r="F486" s="50" t="n">
        <x:f>IF($B486&lt;='Scorecard'!$B$3-37,1,0)</x:f>
        <x:v>0</x:v>
      </x:c>
      <x:c r="G486" s="50" t="n">
        <x:f>IF(COUNTIFS(Events!$B$4:$B$1456,$A486,Events!$C$4:$C$1456,"day30_checkin_completed",Events!$D$4:$D$1456,"&gt;="&amp;($B486+28),Events!$D$4:$D$1456,"&lt;="&amp;($B486+37))&gt;0,1,0)</x:f>
        <x:v>1</x:v>
      </x:c>
      <x:c r="H486" s="50" t="n">
        <x:f>IF($B486&lt;='Scorecard'!$B$3-74,1,0)</x:f>
        <x:v>0</x:v>
      </x:c>
      <x:c r="I486" s="50" t="n">
        <x:f>IF(COUNTIFS(Events!$B$4:$B$1456,$A486,Events!$C$4:$C$1456,"day60_activity_observed",Events!$D$4:$D$1456,"&gt;="&amp;($B486+60),Events!$D$4:$D$1456,"&lt;="&amp;($B486+74))&gt;0,1,0)</x:f>
        <x:v>0</x:v>
      </x:c>
    </x:row>
    <x:row r="487">
      <x:c r="A487" s="50" t="str">
        <x:f>Members!A487</x:f>
        <x:v>SYN0484</x:v>
      </x:c>
      <x:c r="B487" s="51" t="n">
        <x:f>Members!B487</x:f>
        <x:v>46263</x:v>
      </x:c>
      <x:c r="C487" s="50" t="str">
        <x:f>Members!C487</x:f>
        <x:v>Direct</x:v>
      </x:c>
      <x:c r="D487" s="50" t="n">
        <x:f>IF($B487&lt;='Scorecard'!$B$3-7,1,0)</x:f>
        <x:v>1</x:v>
      </x:c>
      <x:c r="E487" s="50" t="n">
        <x:f>IF(COUNTIFS(Events!$B$4:$B$1456,$A487,Events!$C$4:$C$1456,"coach_contact_completed",Events!$D$4:$D$1456,"&gt;="&amp;($B487+0),Events!$D$4:$D$1456,"&lt;="&amp;($B487+7))&gt;0,1,0)</x:f>
        <x:v>0</x:v>
      </x:c>
      <x:c r="F487" s="50" t="n">
        <x:f>IF($B487&lt;='Scorecard'!$B$3-37,1,0)</x:f>
        <x:v>0</x:v>
      </x:c>
      <x:c r="G487" s="50" t="n">
        <x:f>IF(COUNTIFS(Events!$B$4:$B$1456,$A487,Events!$C$4:$C$1456,"day30_checkin_completed",Events!$D$4:$D$1456,"&gt;="&amp;($B487+28),Events!$D$4:$D$1456,"&lt;="&amp;($B487+37))&gt;0,1,0)</x:f>
        <x:v>0</x:v>
      </x:c>
      <x:c r="H487" s="50" t="n">
        <x:f>IF($B487&lt;='Scorecard'!$B$3-74,1,0)</x:f>
        <x:v>0</x:v>
      </x:c>
      <x:c r="I487" s="50" t="n">
        <x:f>IF(COUNTIFS(Events!$B$4:$B$1456,$A487,Events!$C$4:$C$1456,"day60_activity_observed",Events!$D$4:$D$1456,"&gt;="&amp;($B487+60),Events!$D$4:$D$1456,"&lt;="&amp;($B487+74))&gt;0,1,0)</x:f>
        <x:v>0</x:v>
      </x:c>
    </x:row>
    <x:row r="488">
      <x:c r="A488" s="50" t="str">
        <x:f>Members!A488</x:f>
        <x:v>SYN0485</x:v>
      </x:c>
      <x:c r="B488" s="51" t="n">
        <x:f>Members!B488</x:f>
        <x:v>46139</x:v>
      </x:c>
      <x:c r="C488" s="50" t="str">
        <x:f>Members!C488</x:f>
        <x:v>Direct</x:v>
      </x:c>
      <x:c r="D488" s="50" t="n">
        <x:f>IF($B488&lt;='Scorecard'!$B$3-7,1,0)</x:f>
        <x:v>1</x:v>
      </x:c>
      <x:c r="E488" s="50" t="n">
        <x:f>IF(COUNTIFS(Events!$B$4:$B$1456,$A488,Events!$C$4:$C$1456,"coach_contact_completed",Events!$D$4:$D$1456,"&gt;="&amp;($B488+0),Events!$D$4:$D$1456,"&lt;="&amp;($B488+7))&gt;0,1,0)</x:f>
        <x:v>1</x:v>
      </x:c>
      <x:c r="F488" s="50" t="n">
        <x:f>IF($B488&lt;='Scorecard'!$B$3-37,1,0)</x:f>
        <x:v>1</x:v>
      </x:c>
      <x:c r="G488" s="50" t="n">
        <x:f>IF(COUNTIFS(Events!$B$4:$B$1456,$A488,Events!$C$4:$C$1456,"day30_checkin_completed",Events!$D$4:$D$1456,"&gt;="&amp;($B488+28),Events!$D$4:$D$1456,"&lt;="&amp;($B488+37))&gt;0,1,0)</x:f>
        <x:v>1</x:v>
      </x:c>
      <x:c r="H488" s="50" t="n">
        <x:f>IF($B488&lt;='Scorecard'!$B$3-74,1,0)</x:f>
        <x:v>1</x:v>
      </x:c>
      <x:c r="I488" s="50" t="n">
        <x:f>IF(COUNTIFS(Events!$B$4:$B$1456,$A488,Events!$C$4:$C$1456,"day60_activity_observed",Events!$D$4:$D$1456,"&gt;="&amp;($B488+60),Events!$D$4:$D$1456,"&lt;="&amp;($B488+74))&gt;0,1,0)</x:f>
        <x:v>1</x:v>
      </x:c>
    </x:row>
    <x:row r="489">
      <x:c r="A489" s="50" t="str">
        <x:f>Members!A489</x:f>
        <x:v>SYN0486</x:v>
      </x:c>
      <x:c r="B489" s="51" t="n">
        <x:f>Members!B489</x:f>
        <x:v>46128</x:v>
      </x:c>
      <x:c r="C489" s="50" t="str">
        <x:f>Members!C489</x:f>
        <x:v>Employer</x:v>
      </x:c>
      <x:c r="D489" s="50" t="n">
        <x:f>IF($B489&lt;='Scorecard'!$B$3-7,1,0)</x:f>
        <x:v>1</x:v>
      </x:c>
      <x:c r="E489" s="50" t="n">
        <x:f>IF(COUNTIFS(Events!$B$4:$B$1456,$A489,Events!$C$4:$C$1456,"coach_contact_completed",Events!$D$4:$D$1456,"&gt;="&amp;($B489+0),Events!$D$4:$D$1456,"&lt;="&amp;($B489+7))&gt;0,1,0)</x:f>
        <x:v>1</x:v>
      </x:c>
      <x:c r="F489" s="50" t="n">
        <x:f>IF($B489&lt;='Scorecard'!$B$3-37,1,0)</x:f>
        <x:v>1</x:v>
      </x:c>
      <x:c r="G489" s="50" t="n">
        <x:f>IF(COUNTIFS(Events!$B$4:$B$1456,$A489,Events!$C$4:$C$1456,"day30_checkin_completed",Events!$D$4:$D$1456,"&gt;="&amp;($B489+28),Events!$D$4:$D$1456,"&lt;="&amp;($B489+37))&gt;0,1,0)</x:f>
        <x:v>1</x:v>
      </x:c>
      <x:c r="H489" s="50" t="n">
        <x:f>IF($B489&lt;='Scorecard'!$B$3-74,1,0)</x:f>
        <x:v>1</x:v>
      </x:c>
      <x:c r="I489" s="50" t="n">
        <x:f>IF(COUNTIFS(Events!$B$4:$B$1456,$A489,Events!$C$4:$C$1456,"day60_activity_observed",Events!$D$4:$D$1456,"&gt;="&amp;($B489+60),Events!$D$4:$D$1456,"&lt;="&amp;($B489+74))&gt;0,1,0)</x:f>
        <x:v>1</x:v>
      </x:c>
    </x:row>
    <x:row r="490">
      <x:c r="A490" s="50" t="str">
        <x:f>Members!A490</x:f>
        <x:v>SYN0487</x:v>
      </x:c>
      <x:c r="B490" s="51" t="n">
        <x:f>Members!B490</x:f>
        <x:v>46065</x:v>
      </x:c>
      <x:c r="C490" s="50" t="str">
        <x:f>Members!C490</x:f>
        <x:v>Employer</x:v>
      </x:c>
      <x:c r="D490" s="50" t="n">
        <x:f>IF($B490&lt;='Scorecard'!$B$3-7,1,0)</x:f>
        <x:v>1</x:v>
      </x:c>
      <x:c r="E490" s="50" t="n">
        <x:f>IF(COUNTIFS(Events!$B$4:$B$1456,$A490,Events!$C$4:$C$1456,"coach_contact_completed",Events!$D$4:$D$1456,"&gt;="&amp;($B490+0),Events!$D$4:$D$1456,"&lt;="&amp;($B490+7))&gt;0,1,0)</x:f>
        <x:v>0</x:v>
      </x:c>
      <x:c r="F490" s="50" t="n">
        <x:f>IF($B490&lt;='Scorecard'!$B$3-37,1,0)</x:f>
        <x:v>1</x:v>
      </x:c>
      <x:c r="G490" s="50" t="n">
        <x:f>IF(COUNTIFS(Events!$B$4:$B$1456,$A490,Events!$C$4:$C$1456,"day30_checkin_completed",Events!$D$4:$D$1456,"&gt;="&amp;($B490+28),Events!$D$4:$D$1456,"&lt;="&amp;($B490+37))&gt;0,1,0)</x:f>
        <x:v>1</x:v>
      </x:c>
      <x:c r="H490" s="50" t="n">
        <x:f>IF($B490&lt;='Scorecard'!$B$3-74,1,0)</x:f>
        <x:v>1</x:v>
      </x:c>
      <x:c r="I490" s="50" t="n">
        <x:f>IF(COUNTIFS(Events!$B$4:$B$1456,$A490,Events!$C$4:$C$1456,"day60_activity_observed",Events!$D$4:$D$1456,"&gt;="&amp;($B490+60),Events!$D$4:$D$1456,"&lt;="&amp;($B490+74))&gt;0,1,0)</x:f>
        <x:v>0</x:v>
      </x:c>
    </x:row>
    <x:row r="491">
      <x:c r="A491" s="50" t="str">
        <x:f>Members!A491</x:f>
        <x:v>SYN0488</x:v>
      </x:c>
      <x:c r="B491" s="51" t="n">
        <x:f>Members!B491</x:f>
        <x:v>46160</x:v>
      </x:c>
      <x:c r="C491" s="50" t="str">
        <x:f>Members!C491</x:f>
        <x:v>Direct</x:v>
      </x:c>
      <x:c r="D491" s="50" t="n">
        <x:f>IF($B491&lt;='Scorecard'!$B$3-7,1,0)</x:f>
        <x:v>1</x:v>
      </x:c>
      <x:c r="E491" s="50" t="n">
        <x:f>IF(COUNTIFS(Events!$B$4:$B$1456,$A491,Events!$C$4:$C$1456,"coach_contact_completed",Events!$D$4:$D$1456,"&gt;="&amp;($B491+0),Events!$D$4:$D$1456,"&lt;="&amp;($B491+7))&gt;0,1,0)</x:f>
        <x:v>0</x:v>
      </x:c>
      <x:c r="F491" s="50" t="n">
        <x:f>IF($B491&lt;='Scorecard'!$B$3-37,1,0)</x:f>
        <x:v>1</x:v>
      </x:c>
      <x:c r="G491" s="50" t="n">
        <x:f>IF(COUNTIFS(Events!$B$4:$B$1456,$A491,Events!$C$4:$C$1456,"day30_checkin_completed",Events!$D$4:$D$1456,"&gt;="&amp;($B491+28),Events!$D$4:$D$1456,"&lt;="&amp;($B491+37))&gt;0,1,0)</x:f>
        <x:v>0</x:v>
      </x:c>
      <x:c r="H491" s="50" t="n">
        <x:f>IF($B491&lt;='Scorecard'!$B$3-74,1,0)</x:f>
        <x:v>1</x:v>
      </x:c>
      <x:c r="I491" s="50" t="n">
        <x:f>IF(COUNTIFS(Events!$B$4:$B$1456,$A491,Events!$C$4:$C$1456,"day60_activity_observed",Events!$D$4:$D$1456,"&gt;="&amp;($B491+60),Events!$D$4:$D$1456,"&lt;="&amp;($B491+74))&gt;0,1,0)</x:f>
        <x:v>0</x:v>
      </x:c>
    </x:row>
    <x:row r="492">
      <x:c r="A492" s="50" t="str">
        <x:f>Members!A492</x:f>
        <x:v>SYN0489</x:v>
      </x:c>
      <x:c r="B492" s="51" t="n">
        <x:f>Members!B492</x:f>
        <x:v>46110</x:v>
      </x:c>
      <x:c r="C492" s="50" t="str">
        <x:f>Members!C492</x:f>
        <x:v>Direct</x:v>
      </x:c>
      <x:c r="D492" s="50" t="n">
        <x:f>IF($B492&lt;='Scorecard'!$B$3-7,1,0)</x:f>
        <x:v>1</x:v>
      </x:c>
      <x:c r="E492" s="50" t="n">
        <x:f>IF(COUNTIFS(Events!$B$4:$B$1456,$A492,Events!$C$4:$C$1456,"coach_contact_completed",Events!$D$4:$D$1456,"&gt;="&amp;($B492+0),Events!$D$4:$D$1456,"&lt;="&amp;($B492+7))&gt;0,1,0)</x:f>
        <x:v>1</x:v>
      </x:c>
      <x:c r="F492" s="50" t="n">
        <x:f>IF($B492&lt;='Scorecard'!$B$3-37,1,0)</x:f>
        <x:v>1</x:v>
      </x:c>
      <x:c r="G492" s="50" t="n">
        <x:f>IF(COUNTIFS(Events!$B$4:$B$1456,$A492,Events!$C$4:$C$1456,"day30_checkin_completed",Events!$D$4:$D$1456,"&gt;="&amp;($B492+28),Events!$D$4:$D$1456,"&lt;="&amp;($B492+37))&gt;0,1,0)</x:f>
        <x:v>1</x:v>
      </x:c>
      <x:c r="H492" s="50" t="n">
        <x:f>IF($B492&lt;='Scorecard'!$B$3-74,1,0)</x:f>
        <x:v>1</x:v>
      </x:c>
      <x:c r="I492" s="50" t="n">
        <x:f>IF(COUNTIFS(Events!$B$4:$B$1456,$A492,Events!$C$4:$C$1456,"day60_activity_observed",Events!$D$4:$D$1456,"&gt;="&amp;($B492+60),Events!$D$4:$D$1456,"&lt;="&amp;($B492+74))&gt;0,1,0)</x:f>
        <x:v>1</x:v>
      </x:c>
    </x:row>
    <x:row r="493">
      <x:c r="A493" s="50" t="str">
        <x:f>Members!A493</x:f>
        <x:v>SYN0490</x:v>
      </x:c>
      <x:c r="B493" s="51" t="n">
        <x:f>Members!B493</x:f>
        <x:v>46110</x:v>
      </x:c>
      <x:c r="C493" s="50" t="str">
        <x:f>Members!C493</x:f>
        <x:v>Direct</x:v>
      </x:c>
      <x:c r="D493" s="50" t="n">
        <x:f>IF($B493&lt;='Scorecard'!$B$3-7,1,0)</x:f>
        <x:v>1</x:v>
      </x:c>
      <x:c r="E493" s="50" t="n">
        <x:f>IF(COUNTIFS(Events!$B$4:$B$1456,$A493,Events!$C$4:$C$1456,"coach_contact_completed",Events!$D$4:$D$1456,"&gt;="&amp;($B493+0),Events!$D$4:$D$1456,"&lt;="&amp;($B493+7))&gt;0,1,0)</x:f>
        <x:v>0</x:v>
      </x:c>
      <x:c r="F493" s="50" t="n">
        <x:f>IF($B493&lt;='Scorecard'!$B$3-37,1,0)</x:f>
        <x:v>1</x:v>
      </x:c>
      <x:c r="G493" s="50" t="n">
        <x:f>IF(COUNTIFS(Events!$B$4:$B$1456,$A493,Events!$C$4:$C$1456,"day30_checkin_completed",Events!$D$4:$D$1456,"&gt;="&amp;($B493+28),Events!$D$4:$D$1456,"&lt;="&amp;($B493+37))&gt;0,1,0)</x:f>
        <x:v>1</x:v>
      </x:c>
      <x:c r="H493" s="50" t="n">
        <x:f>IF($B493&lt;='Scorecard'!$B$3-74,1,0)</x:f>
        <x:v>1</x:v>
      </x:c>
      <x:c r="I493" s="50" t="n">
        <x:f>IF(COUNTIFS(Events!$B$4:$B$1456,$A493,Events!$C$4:$C$1456,"day60_activity_observed",Events!$D$4:$D$1456,"&gt;="&amp;($B493+60),Events!$D$4:$D$1456,"&lt;="&amp;($B493+74))&gt;0,1,0)</x:f>
        <x:v>0</x:v>
      </x:c>
    </x:row>
    <x:row r="494">
      <x:c r="A494" s="50" t="str">
        <x:f>Members!A494</x:f>
        <x:v>SYN0491</x:v>
      </x:c>
      <x:c r="B494" s="51" t="n">
        <x:f>Members!B494</x:f>
        <x:v>46130</x:v>
      </x:c>
      <x:c r="C494" s="50" t="str">
        <x:f>Members!C494</x:f>
        <x:v>Direct</x:v>
      </x:c>
      <x:c r="D494" s="50" t="n">
        <x:f>IF($B494&lt;='Scorecard'!$B$3-7,1,0)</x:f>
        <x:v>1</x:v>
      </x:c>
      <x:c r="E494" s="50" t="n">
        <x:f>IF(COUNTIFS(Events!$B$4:$B$1456,$A494,Events!$C$4:$C$1456,"coach_contact_completed",Events!$D$4:$D$1456,"&gt;="&amp;($B494+0),Events!$D$4:$D$1456,"&lt;="&amp;($B494+7))&gt;0,1,0)</x:f>
        <x:v>0</x:v>
      </x:c>
      <x:c r="F494" s="50" t="n">
        <x:f>IF($B494&lt;='Scorecard'!$B$3-37,1,0)</x:f>
        <x:v>1</x:v>
      </x:c>
      <x:c r="G494" s="50" t="n">
        <x:f>IF(COUNTIFS(Events!$B$4:$B$1456,$A494,Events!$C$4:$C$1456,"day30_checkin_completed",Events!$D$4:$D$1456,"&gt;="&amp;($B494+28),Events!$D$4:$D$1456,"&lt;="&amp;($B494+37))&gt;0,1,0)</x:f>
        <x:v>1</x:v>
      </x:c>
      <x:c r="H494" s="50" t="n">
        <x:f>IF($B494&lt;='Scorecard'!$B$3-74,1,0)</x:f>
        <x:v>1</x:v>
      </x:c>
      <x:c r="I494" s="50" t="n">
        <x:f>IF(COUNTIFS(Events!$B$4:$B$1456,$A494,Events!$C$4:$C$1456,"day60_activity_observed",Events!$D$4:$D$1456,"&gt;="&amp;($B494+60),Events!$D$4:$D$1456,"&lt;="&amp;($B494+74))&gt;0,1,0)</x:f>
        <x:v>0</x:v>
      </x:c>
    </x:row>
    <x:row r="495">
      <x:c r="A495" s="50" t="str">
        <x:f>Members!A495</x:f>
        <x:v>SYN0492</x:v>
      </x:c>
      <x:c r="B495" s="51" t="n">
        <x:f>Members!B495</x:f>
        <x:v>46146</x:v>
      </x:c>
      <x:c r="C495" s="50" t="str">
        <x:f>Members!C495</x:f>
        <x:v>Direct</x:v>
      </x:c>
      <x:c r="D495" s="50" t="n">
        <x:f>IF($B495&lt;='Scorecard'!$B$3-7,1,0)</x:f>
        <x:v>1</x:v>
      </x:c>
      <x:c r="E495" s="50" t="n">
        <x:f>IF(COUNTIFS(Events!$B$4:$B$1456,$A495,Events!$C$4:$C$1456,"coach_contact_completed",Events!$D$4:$D$1456,"&gt;="&amp;($B495+0),Events!$D$4:$D$1456,"&lt;="&amp;($B495+7))&gt;0,1,0)</x:f>
        <x:v>1</x:v>
      </x:c>
      <x:c r="F495" s="50" t="n">
        <x:f>IF($B495&lt;='Scorecard'!$B$3-37,1,0)</x:f>
        <x:v>1</x:v>
      </x:c>
      <x:c r="G495" s="50" t="n">
        <x:f>IF(COUNTIFS(Events!$B$4:$B$1456,$A495,Events!$C$4:$C$1456,"day30_checkin_completed",Events!$D$4:$D$1456,"&gt;="&amp;($B495+28),Events!$D$4:$D$1456,"&lt;="&amp;($B495+37))&gt;0,1,0)</x:f>
        <x:v>0</x:v>
      </x:c>
      <x:c r="H495" s="50" t="n">
        <x:f>IF($B495&lt;='Scorecard'!$B$3-74,1,0)</x:f>
        <x:v>1</x:v>
      </x:c>
      <x:c r="I495" s="50" t="n">
        <x:f>IF(COUNTIFS(Events!$B$4:$B$1456,$A495,Events!$C$4:$C$1456,"day60_activity_observed",Events!$D$4:$D$1456,"&gt;="&amp;($B495+60),Events!$D$4:$D$1456,"&lt;="&amp;($B495+74))&gt;0,1,0)</x:f>
        <x:v>0</x:v>
      </x:c>
    </x:row>
    <x:row r="496">
      <x:c r="A496" s="50" t="str">
        <x:f>Members!A496</x:f>
        <x:v>SYN0493</x:v>
      </x:c>
      <x:c r="B496" s="51" t="n">
        <x:f>Members!B496</x:f>
        <x:v>46207</x:v>
      </x:c>
      <x:c r="C496" s="50" t="str">
        <x:f>Members!C496</x:f>
        <x:v>Direct</x:v>
      </x:c>
      <x:c r="D496" s="50" t="n">
        <x:f>IF($B496&lt;='Scorecard'!$B$3-7,1,0)</x:f>
        <x:v>1</x:v>
      </x:c>
      <x:c r="E496" s="50" t="n">
        <x:f>IF(COUNTIFS(Events!$B$4:$B$1456,$A496,Events!$C$4:$C$1456,"coach_contact_completed",Events!$D$4:$D$1456,"&gt;="&amp;($B496+0),Events!$D$4:$D$1456,"&lt;="&amp;($B496+7))&gt;0,1,0)</x:f>
        <x:v>1</x:v>
      </x:c>
      <x:c r="F496" s="50" t="n">
        <x:f>IF($B496&lt;='Scorecard'!$B$3-37,1,0)</x:f>
        <x:v>1</x:v>
      </x:c>
      <x:c r="G496" s="50" t="n">
        <x:f>IF(COUNTIFS(Events!$B$4:$B$1456,$A496,Events!$C$4:$C$1456,"day30_checkin_completed",Events!$D$4:$D$1456,"&gt;="&amp;($B496+28),Events!$D$4:$D$1456,"&lt;="&amp;($B496+37))&gt;0,1,0)</x:f>
        <x:v>0</x:v>
      </x:c>
      <x:c r="H496" s="50" t="n">
        <x:f>IF($B496&lt;='Scorecard'!$B$3-74,1,0)</x:f>
        <x:v>1</x:v>
      </x:c>
      <x:c r="I496" s="50" t="n">
        <x:f>IF(COUNTIFS(Events!$B$4:$B$1456,$A496,Events!$C$4:$C$1456,"day60_activity_observed",Events!$D$4:$D$1456,"&gt;="&amp;($B496+60),Events!$D$4:$D$1456,"&lt;="&amp;($B496+74))&gt;0,1,0)</x:f>
        <x:v>1</x:v>
      </x:c>
    </x:row>
    <x:row r="497">
      <x:c r="A497" s="50" t="str">
        <x:f>Members!A497</x:f>
        <x:v>SYN0494</x:v>
      </x:c>
      <x:c r="B497" s="51" t="n">
        <x:f>Members!B497</x:f>
        <x:v>46106</x:v>
      </x:c>
      <x:c r="C497" s="50" t="str">
        <x:f>Members!C497</x:f>
        <x:v>Direct</x:v>
      </x:c>
      <x:c r="D497" s="50" t="n">
        <x:f>IF($B497&lt;='Scorecard'!$B$3-7,1,0)</x:f>
        <x:v>1</x:v>
      </x:c>
      <x:c r="E497" s="50" t="n">
        <x:f>IF(COUNTIFS(Events!$B$4:$B$1456,$A497,Events!$C$4:$C$1456,"coach_contact_completed",Events!$D$4:$D$1456,"&gt;="&amp;($B497+0),Events!$D$4:$D$1456,"&lt;="&amp;($B497+7))&gt;0,1,0)</x:f>
        <x:v>0</x:v>
      </x:c>
      <x:c r="F497" s="50" t="n">
        <x:f>IF($B497&lt;='Scorecard'!$B$3-37,1,0)</x:f>
        <x:v>1</x:v>
      </x:c>
      <x:c r="G497" s="50" t="n">
        <x:f>IF(COUNTIFS(Events!$B$4:$B$1456,$A497,Events!$C$4:$C$1456,"day30_checkin_completed",Events!$D$4:$D$1456,"&gt;="&amp;($B497+28),Events!$D$4:$D$1456,"&lt;="&amp;($B497+37))&gt;0,1,0)</x:f>
        <x:v>1</x:v>
      </x:c>
      <x:c r="H497" s="50" t="n">
        <x:f>IF($B497&lt;='Scorecard'!$B$3-74,1,0)</x:f>
        <x:v>1</x:v>
      </x:c>
      <x:c r="I497" s="50" t="n">
        <x:f>IF(COUNTIFS(Events!$B$4:$B$1456,$A497,Events!$C$4:$C$1456,"day60_activity_observed",Events!$D$4:$D$1456,"&gt;="&amp;($B497+60),Events!$D$4:$D$1456,"&lt;="&amp;($B497+74))&gt;0,1,0)</x:f>
        <x:v>1</x:v>
      </x:c>
    </x:row>
    <x:row r="498">
      <x:c r="A498" s="50" t="str">
        <x:f>Members!A498</x:f>
        <x:v>SYN0495</x:v>
      </x:c>
      <x:c r="B498" s="51" t="n">
        <x:f>Members!B498</x:f>
        <x:v>46088</x:v>
      </x:c>
      <x:c r="C498" s="50" t="str">
        <x:f>Members!C498</x:f>
        <x:v>Direct</x:v>
      </x:c>
      <x:c r="D498" s="50" t="n">
        <x:f>IF($B498&lt;='Scorecard'!$B$3-7,1,0)</x:f>
        <x:v>1</x:v>
      </x:c>
      <x:c r="E498" s="50" t="n">
        <x:f>IF(COUNTIFS(Events!$B$4:$B$1456,$A498,Events!$C$4:$C$1456,"coach_contact_completed",Events!$D$4:$D$1456,"&gt;="&amp;($B498+0),Events!$D$4:$D$1456,"&lt;="&amp;($B498+7))&gt;0,1,0)</x:f>
        <x:v>1</x:v>
      </x:c>
      <x:c r="F498" s="50" t="n">
        <x:f>IF($B498&lt;='Scorecard'!$B$3-37,1,0)</x:f>
        <x:v>1</x:v>
      </x:c>
      <x:c r="G498" s="50" t="n">
        <x:f>IF(COUNTIFS(Events!$B$4:$B$1456,$A498,Events!$C$4:$C$1456,"day30_checkin_completed",Events!$D$4:$D$1456,"&gt;="&amp;($B498+28),Events!$D$4:$D$1456,"&lt;="&amp;($B498+37))&gt;0,1,0)</x:f>
        <x:v>0</x:v>
      </x:c>
      <x:c r="H498" s="50" t="n">
        <x:f>IF($B498&lt;='Scorecard'!$B$3-74,1,0)</x:f>
        <x:v>1</x:v>
      </x:c>
      <x:c r="I498" s="50" t="n">
        <x:f>IF(COUNTIFS(Events!$B$4:$B$1456,$A498,Events!$C$4:$C$1456,"day60_activity_observed",Events!$D$4:$D$1456,"&gt;="&amp;($B498+60),Events!$D$4:$D$1456,"&lt;="&amp;($B498+74))&gt;0,1,0)</x:f>
        <x:v>1</x:v>
      </x:c>
    </x:row>
    <x:row r="499">
      <x:c r="A499" s="50" t="str">
        <x:f>Members!A499</x:f>
        <x:v>SYN0496</x:v>
      </x:c>
      <x:c r="B499" s="51" t="n">
        <x:f>Members!B499</x:f>
        <x:v>46041</x:v>
      </x:c>
      <x:c r="C499" s="50" t="str">
        <x:f>Members!C499</x:f>
        <x:v>Direct</x:v>
      </x:c>
      <x:c r="D499" s="50" t="n">
        <x:f>IF($B499&lt;='Scorecard'!$B$3-7,1,0)</x:f>
        <x:v>1</x:v>
      </x:c>
      <x:c r="E499" s="50" t="n">
        <x:f>IF(COUNTIFS(Events!$B$4:$B$1456,$A499,Events!$C$4:$C$1456,"coach_contact_completed",Events!$D$4:$D$1456,"&gt;="&amp;($B499+0),Events!$D$4:$D$1456,"&lt;="&amp;($B499+7))&gt;0,1,0)</x:f>
        <x:v>0</x:v>
      </x:c>
      <x:c r="F499" s="50" t="n">
        <x:f>IF($B499&lt;='Scorecard'!$B$3-37,1,0)</x:f>
        <x:v>1</x:v>
      </x:c>
      <x:c r="G499" s="50" t="n">
        <x:f>IF(COUNTIFS(Events!$B$4:$B$1456,$A499,Events!$C$4:$C$1456,"day30_checkin_completed",Events!$D$4:$D$1456,"&gt;="&amp;($B499+28),Events!$D$4:$D$1456,"&lt;="&amp;($B499+37))&gt;0,1,0)</x:f>
        <x:v>1</x:v>
      </x:c>
      <x:c r="H499" s="50" t="n">
        <x:f>IF($B499&lt;='Scorecard'!$B$3-74,1,0)</x:f>
        <x:v>1</x:v>
      </x:c>
      <x:c r="I499" s="50" t="n">
        <x:f>IF(COUNTIFS(Events!$B$4:$B$1456,$A499,Events!$C$4:$C$1456,"day60_activity_observed",Events!$D$4:$D$1456,"&gt;="&amp;($B499+60),Events!$D$4:$D$1456,"&lt;="&amp;($B499+74))&gt;0,1,0)</x:f>
        <x:v>1</x:v>
      </x:c>
    </x:row>
    <x:row r="500">
      <x:c r="A500" s="50" t="str">
        <x:f>Members!A500</x:f>
        <x:v>SYN0497</x:v>
      </x:c>
      <x:c r="B500" s="51" t="n">
        <x:f>Members!B500</x:f>
        <x:v>46241</x:v>
      </x:c>
      <x:c r="C500" s="50" t="str">
        <x:f>Members!C500</x:f>
        <x:v>Direct</x:v>
      </x:c>
      <x:c r="D500" s="50" t="n">
        <x:f>IF($B500&lt;='Scorecard'!$B$3-7,1,0)</x:f>
        <x:v>1</x:v>
      </x:c>
      <x:c r="E500" s="50" t="n">
        <x:f>IF(COUNTIFS(Events!$B$4:$B$1456,$A500,Events!$C$4:$C$1456,"coach_contact_completed",Events!$D$4:$D$1456,"&gt;="&amp;($B500+0),Events!$D$4:$D$1456,"&lt;="&amp;($B500+7))&gt;0,1,0)</x:f>
        <x:v>1</x:v>
      </x:c>
      <x:c r="F500" s="50" t="n">
        <x:f>IF($B500&lt;='Scorecard'!$B$3-37,1,0)</x:f>
        <x:v>1</x:v>
      </x:c>
      <x:c r="G500" s="50" t="n">
        <x:f>IF(COUNTIFS(Events!$B$4:$B$1456,$A500,Events!$C$4:$C$1456,"day30_checkin_completed",Events!$D$4:$D$1456,"&gt;="&amp;($B500+28),Events!$D$4:$D$1456,"&lt;="&amp;($B500+37))&gt;0,1,0)</x:f>
        <x:v>1</x:v>
      </x:c>
      <x:c r="H500" s="50" t="n">
        <x:f>IF($B500&lt;='Scorecard'!$B$3-74,1,0)</x:f>
        <x:v>0</x:v>
      </x:c>
      <x:c r="I500" s="50" t="n">
        <x:f>IF(COUNTIFS(Events!$B$4:$B$1456,$A500,Events!$C$4:$C$1456,"day60_activity_observed",Events!$D$4:$D$1456,"&gt;="&amp;($B500+60),Events!$D$4:$D$1456,"&lt;="&amp;($B500+74))&gt;0,1,0)</x:f>
        <x:v>0</x:v>
      </x:c>
    </x:row>
    <x:row r="501">
      <x:c r="A501" s="50" t="str">
        <x:f>Members!A501</x:f>
        <x:v>SYN0498</x:v>
      </x:c>
      <x:c r="B501" s="51" t="n">
        <x:f>Members!B501</x:f>
        <x:v>46185</x:v>
      </x:c>
      <x:c r="C501" s="50" t="str">
        <x:f>Members!C501</x:f>
        <x:v>Employer</x:v>
      </x:c>
      <x:c r="D501" s="50" t="n">
        <x:f>IF($B501&lt;='Scorecard'!$B$3-7,1,0)</x:f>
        <x:v>1</x:v>
      </x:c>
      <x:c r="E501" s="50" t="n">
        <x:f>IF(COUNTIFS(Events!$B$4:$B$1456,$A501,Events!$C$4:$C$1456,"coach_contact_completed",Events!$D$4:$D$1456,"&gt;="&amp;($B501+0),Events!$D$4:$D$1456,"&lt;="&amp;($B501+7))&gt;0,1,0)</x:f>
        <x:v>0</x:v>
      </x:c>
      <x:c r="F501" s="50" t="n">
        <x:f>IF($B501&lt;='Scorecard'!$B$3-37,1,0)</x:f>
        <x:v>1</x:v>
      </x:c>
      <x:c r="G501" s="50" t="n">
        <x:f>IF(COUNTIFS(Events!$B$4:$B$1456,$A501,Events!$C$4:$C$1456,"day30_checkin_completed",Events!$D$4:$D$1456,"&gt;="&amp;($B501+28),Events!$D$4:$D$1456,"&lt;="&amp;($B501+37))&gt;0,1,0)</x:f>
        <x:v>0</x:v>
      </x:c>
      <x:c r="H501" s="50" t="n">
        <x:f>IF($B501&lt;='Scorecard'!$B$3-74,1,0)</x:f>
        <x:v>1</x:v>
      </x:c>
      <x:c r="I501" s="50" t="n">
        <x:f>IF(COUNTIFS(Events!$B$4:$B$1456,$A501,Events!$C$4:$C$1456,"day60_activity_observed",Events!$D$4:$D$1456,"&gt;="&amp;($B501+60),Events!$D$4:$D$1456,"&lt;="&amp;($B501+74))&gt;0,1,0)</x:f>
        <x:v>1</x:v>
      </x:c>
    </x:row>
    <x:row r="502">
      <x:c r="A502" s="50" t="str">
        <x:f>Members!A502</x:f>
        <x:v>SYN0499</x:v>
      </x:c>
      <x:c r="B502" s="51" t="n">
        <x:f>Members!B502</x:f>
        <x:v>46236</x:v>
      </x:c>
      <x:c r="C502" s="50" t="str">
        <x:f>Members!C502</x:f>
        <x:v>Direct</x:v>
      </x:c>
      <x:c r="D502" s="50" t="n">
        <x:f>IF($B502&lt;='Scorecard'!$B$3-7,1,0)</x:f>
        <x:v>1</x:v>
      </x:c>
      <x:c r="E502" s="50" t="n">
        <x:f>IF(COUNTIFS(Events!$B$4:$B$1456,$A502,Events!$C$4:$C$1456,"coach_contact_completed",Events!$D$4:$D$1456,"&gt;="&amp;($B502+0),Events!$D$4:$D$1456,"&lt;="&amp;($B502+7))&gt;0,1,0)</x:f>
        <x:v>1</x:v>
      </x:c>
      <x:c r="F502" s="50" t="n">
        <x:f>IF($B502&lt;='Scorecard'!$B$3-37,1,0)</x:f>
        <x:v>1</x:v>
      </x:c>
      <x:c r="G502" s="50" t="n">
        <x:f>IF(COUNTIFS(Events!$B$4:$B$1456,$A502,Events!$C$4:$C$1456,"day30_checkin_completed",Events!$D$4:$D$1456,"&gt;="&amp;($B502+28),Events!$D$4:$D$1456,"&lt;="&amp;($B502+37))&gt;0,1,0)</x:f>
        <x:v>0</x:v>
      </x:c>
      <x:c r="H502" s="50" t="n">
        <x:f>IF($B502&lt;='Scorecard'!$B$3-74,1,0)</x:f>
        <x:v>0</x:v>
      </x:c>
      <x:c r="I502" s="50" t="n">
        <x:f>IF(COUNTIFS(Events!$B$4:$B$1456,$A502,Events!$C$4:$C$1456,"day60_activity_observed",Events!$D$4:$D$1456,"&gt;="&amp;($B502+60),Events!$D$4:$D$1456,"&lt;="&amp;($B502+74))&gt;0,1,0)</x:f>
        <x:v>0</x:v>
      </x:c>
    </x:row>
    <x:row r="503">
      <x:c r="A503" s="50" t="str">
        <x:f>Members!A503</x:f>
        <x:v>SYN0500</x:v>
      </x:c>
      <x:c r="B503" s="51" t="n">
        <x:f>Members!B503</x:f>
        <x:v>46076</x:v>
      </x:c>
      <x:c r="C503" s="50" t="str">
        <x:f>Members!C503</x:f>
        <x:v>Direct</x:v>
      </x:c>
      <x:c r="D503" s="50" t="n">
        <x:f>IF($B503&lt;='Scorecard'!$B$3-7,1,0)</x:f>
        <x:v>1</x:v>
      </x:c>
      <x:c r="E503" s="50" t="n">
        <x:f>IF(COUNTIFS(Events!$B$4:$B$1456,$A503,Events!$C$4:$C$1456,"coach_contact_completed",Events!$D$4:$D$1456,"&gt;="&amp;($B503+0),Events!$D$4:$D$1456,"&lt;="&amp;($B503+7))&gt;0,1,0)</x:f>
        <x:v>1</x:v>
      </x:c>
      <x:c r="F503" s="50" t="n">
        <x:f>IF($B503&lt;='Scorecard'!$B$3-37,1,0)</x:f>
        <x:v>1</x:v>
      </x:c>
      <x:c r="G503" s="50" t="n">
        <x:f>IF(COUNTIFS(Events!$B$4:$B$1456,$A503,Events!$C$4:$C$1456,"day30_checkin_completed",Events!$D$4:$D$1456,"&gt;="&amp;($B503+28),Events!$D$4:$D$1456,"&lt;="&amp;($B503+37))&gt;0,1,0)</x:f>
        <x:v>1</x:v>
      </x:c>
      <x:c r="H503" s="50" t="n">
        <x:f>IF($B503&lt;='Scorecard'!$B$3-74,1,0)</x:f>
        <x:v>1</x:v>
      </x:c>
      <x:c r="I503" s="50" t="n">
        <x:f>IF(COUNTIFS(Events!$B$4:$B$1456,$A503,Events!$C$4:$C$1456,"day60_activity_observed",Events!$D$4:$D$1456,"&gt;="&amp;($B503+60),Events!$D$4:$D$1456,"&lt;="&amp;($B503+74))&gt;0,1,0)</x:f>
        <x:v>1</x:v>
      </x:c>
    </x:row>
    <x:row r="504">
      <x:c r="A504" s="50" t="str">
        <x:f>Members!A504</x:f>
        <x:v>SYN0501</x:v>
      </x:c>
      <x:c r="B504" s="51" t="n">
        <x:f>Members!B504</x:f>
        <x:v>46211</x:v>
      </x:c>
      <x:c r="C504" s="50" t="str">
        <x:f>Members!C504</x:f>
        <x:v>Direct</x:v>
      </x:c>
      <x:c r="D504" s="50" t="n">
        <x:f>IF($B504&lt;='Scorecard'!$B$3-7,1,0)</x:f>
        <x:v>1</x:v>
      </x:c>
      <x:c r="E504" s="50" t="n">
        <x:f>IF(COUNTIFS(Events!$B$4:$B$1456,$A504,Events!$C$4:$C$1456,"coach_contact_completed",Events!$D$4:$D$1456,"&gt;="&amp;($B504+0),Events!$D$4:$D$1456,"&lt;="&amp;($B504+7))&gt;0,1,0)</x:f>
        <x:v>1</x:v>
      </x:c>
      <x:c r="F504" s="50" t="n">
        <x:f>IF($B504&lt;='Scorecard'!$B$3-37,1,0)</x:f>
        <x:v>1</x:v>
      </x:c>
      <x:c r="G504" s="50" t="n">
        <x:f>IF(COUNTIFS(Events!$B$4:$B$1456,$A504,Events!$C$4:$C$1456,"day30_checkin_completed",Events!$D$4:$D$1456,"&gt;="&amp;($B504+28),Events!$D$4:$D$1456,"&lt;="&amp;($B504+37))&gt;0,1,0)</x:f>
        <x:v>1</x:v>
      </x:c>
      <x:c r="H504" s="50" t="n">
        <x:f>IF($B504&lt;='Scorecard'!$B$3-74,1,0)</x:f>
        <x:v>1</x:v>
      </x:c>
      <x:c r="I504" s="50" t="n">
        <x:f>IF(COUNTIFS(Events!$B$4:$B$1456,$A504,Events!$C$4:$C$1456,"day60_activity_observed",Events!$D$4:$D$1456,"&gt;="&amp;($B504+60),Events!$D$4:$D$1456,"&lt;="&amp;($B504+74))&gt;0,1,0)</x:f>
        <x:v>0</x:v>
      </x:c>
    </x:row>
    <x:row r="505">
      <x:c r="A505" s="50" t="str">
        <x:f>Members!A505</x:f>
        <x:v>SYN0502</x:v>
      </x:c>
      <x:c r="B505" s="51" t="n">
        <x:f>Members!B505</x:f>
        <x:v>46059</x:v>
      </x:c>
      <x:c r="C505" s="50" t="str">
        <x:f>Members!C505</x:f>
        <x:v>Direct</x:v>
      </x:c>
      <x:c r="D505" s="50" t="n">
        <x:f>IF($B505&lt;='Scorecard'!$B$3-7,1,0)</x:f>
        <x:v>1</x:v>
      </x:c>
      <x:c r="E505" s="50" t="n">
        <x:f>IF(COUNTIFS(Events!$B$4:$B$1456,$A505,Events!$C$4:$C$1456,"coach_contact_completed",Events!$D$4:$D$1456,"&gt;="&amp;($B505+0),Events!$D$4:$D$1456,"&lt;="&amp;($B505+7))&gt;0,1,0)</x:f>
        <x:v>1</x:v>
      </x:c>
      <x:c r="F505" s="50" t="n">
        <x:f>IF($B505&lt;='Scorecard'!$B$3-37,1,0)</x:f>
        <x:v>1</x:v>
      </x:c>
      <x:c r="G505" s="50" t="n">
        <x:f>IF(COUNTIFS(Events!$B$4:$B$1456,$A505,Events!$C$4:$C$1456,"day30_checkin_completed",Events!$D$4:$D$1456,"&gt;="&amp;($B505+28),Events!$D$4:$D$1456,"&lt;="&amp;($B505+37))&gt;0,1,0)</x:f>
        <x:v>1</x:v>
      </x:c>
      <x:c r="H505" s="50" t="n">
        <x:f>IF($B505&lt;='Scorecard'!$B$3-74,1,0)</x:f>
        <x:v>1</x:v>
      </x:c>
      <x:c r="I505" s="50" t="n">
        <x:f>IF(COUNTIFS(Events!$B$4:$B$1456,$A505,Events!$C$4:$C$1456,"day60_activity_observed",Events!$D$4:$D$1456,"&gt;="&amp;($B505+60),Events!$D$4:$D$1456,"&lt;="&amp;($B505+74))&gt;0,1,0)</x:f>
        <x:v>0</x:v>
      </x:c>
    </x:row>
    <x:row r="506">
      <x:c r="A506" s="50" t="str">
        <x:f>Members!A506</x:f>
        <x:v>SYN0503</x:v>
      </x:c>
      <x:c r="B506" s="51" t="n">
        <x:f>Members!B506</x:f>
        <x:v>46068</x:v>
      </x:c>
      <x:c r="C506" s="50" t="str">
        <x:f>Members!C506</x:f>
        <x:v>Employer</x:v>
      </x:c>
      <x:c r="D506" s="50" t="n">
        <x:f>IF($B506&lt;='Scorecard'!$B$3-7,1,0)</x:f>
        <x:v>1</x:v>
      </x:c>
      <x:c r="E506" s="50" t="n">
        <x:f>IF(COUNTIFS(Events!$B$4:$B$1456,$A506,Events!$C$4:$C$1456,"coach_contact_completed",Events!$D$4:$D$1456,"&gt;="&amp;($B506+0),Events!$D$4:$D$1456,"&lt;="&amp;($B506+7))&gt;0,1,0)</x:f>
        <x:v>1</x:v>
      </x:c>
      <x:c r="F506" s="50" t="n">
        <x:f>IF($B506&lt;='Scorecard'!$B$3-37,1,0)</x:f>
        <x:v>1</x:v>
      </x:c>
      <x:c r="G506" s="50" t="n">
        <x:f>IF(COUNTIFS(Events!$B$4:$B$1456,$A506,Events!$C$4:$C$1456,"day30_checkin_completed",Events!$D$4:$D$1456,"&gt;="&amp;($B506+28),Events!$D$4:$D$1456,"&lt;="&amp;($B506+37))&gt;0,1,0)</x:f>
        <x:v>1</x:v>
      </x:c>
      <x:c r="H506" s="50" t="n">
        <x:f>IF($B506&lt;='Scorecard'!$B$3-74,1,0)</x:f>
        <x:v>1</x:v>
      </x:c>
      <x:c r="I506" s="50" t="n">
        <x:f>IF(COUNTIFS(Events!$B$4:$B$1456,$A506,Events!$C$4:$C$1456,"day60_activity_observed",Events!$D$4:$D$1456,"&gt;="&amp;($B506+60),Events!$D$4:$D$1456,"&lt;="&amp;($B506+74))&gt;0,1,0)</x:f>
        <x:v>1</x:v>
      </x:c>
    </x:row>
    <x:row r="507">
      <x:c r="A507" s="50" t="str">
        <x:f>Members!A507</x:f>
        <x:v>SYN0504</x:v>
      </x:c>
      <x:c r="B507" s="51" t="n">
        <x:f>Members!B507</x:f>
        <x:v>46117</x:v>
      </x:c>
      <x:c r="C507" s="50" t="str">
        <x:f>Members!C507</x:f>
        <x:v>Direct</x:v>
      </x:c>
      <x:c r="D507" s="50" t="n">
        <x:f>IF($B507&lt;='Scorecard'!$B$3-7,1,0)</x:f>
        <x:v>1</x:v>
      </x:c>
      <x:c r="E507" s="50" t="n">
        <x:f>IF(COUNTIFS(Events!$B$4:$B$1456,$A507,Events!$C$4:$C$1456,"coach_contact_completed",Events!$D$4:$D$1456,"&gt;="&amp;($B507+0),Events!$D$4:$D$1456,"&lt;="&amp;($B507+7))&gt;0,1,0)</x:f>
        <x:v>1</x:v>
      </x:c>
      <x:c r="F507" s="50" t="n">
        <x:f>IF($B507&lt;='Scorecard'!$B$3-37,1,0)</x:f>
        <x:v>1</x:v>
      </x:c>
      <x:c r="G507" s="50" t="n">
        <x:f>IF(COUNTIFS(Events!$B$4:$B$1456,$A507,Events!$C$4:$C$1456,"day30_checkin_completed",Events!$D$4:$D$1456,"&gt;="&amp;($B507+28),Events!$D$4:$D$1456,"&lt;="&amp;($B507+37))&gt;0,1,0)</x:f>
        <x:v>0</x:v>
      </x:c>
      <x:c r="H507" s="50" t="n">
        <x:f>IF($B507&lt;='Scorecard'!$B$3-74,1,0)</x:f>
        <x:v>1</x:v>
      </x:c>
      <x:c r="I507" s="50" t="n">
        <x:f>IF(COUNTIFS(Events!$B$4:$B$1456,$A507,Events!$C$4:$C$1456,"day60_activity_observed",Events!$D$4:$D$1456,"&gt;="&amp;($B507+60),Events!$D$4:$D$1456,"&lt;="&amp;($B507+74))&gt;0,1,0)</x:f>
        <x:v>1</x:v>
      </x:c>
    </x:row>
    <x:row r="508">
      <x:c r="A508" s="50" t="str">
        <x:f>Members!A508</x:f>
        <x:v>SYN0505</x:v>
      </x:c>
      <x:c r="B508" s="51" t="n">
        <x:f>Members!B508</x:f>
        <x:v>46028</x:v>
      </x:c>
      <x:c r="C508" s="50" t="str">
        <x:f>Members!C508</x:f>
        <x:v>Direct</x:v>
      </x:c>
      <x:c r="D508" s="50" t="n">
        <x:f>IF($B508&lt;='Scorecard'!$B$3-7,1,0)</x:f>
        <x:v>1</x:v>
      </x:c>
      <x:c r="E508" s="50" t="n">
        <x:f>IF(COUNTIFS(Events!$B$4:$B$1456,$A508,Events!$C$4:$C$1456,"coach_contact_completed",Events!$D$4:$D$1456,"&gt;="&amp;($B508+0),Events!$D$4:$D$1456,"&lt;="&amp;($B508+7))&gt;0,1,0)</x:f>
        <x:v>1</x:v>
      </x:c>
      <x:c r="F508" s="50" t="n">
        <x:f>IF($B508&lt;='Scorecard'!$B$3-37,1,0)</x:f>
        <x:v>1</x:v>
      </x:c>
      <x:c r="G508" s="50" t="n">
        <x:f>IF(COUNTIFS(Events!$B$4:$B$1456,$A508,Events!$C$4:$C$1456,"day30_checkin_completed",Events!$D$4:$D$1456,"&gt;="&amp;($B508+28),Events!$D$4:$D$1456,"&lt;="&amp;($B508+37))&gt;0,1,0)</x:f>
        <x:v>0</x:v>
      </x:c>
      <x:c r="H508" s="50" t="n">
        <x:f>IF($B508&lt;='Scorecard'!$B$3-74,1,0)</x:f>
        <x:v>1</x:v>
      </x:c>
      <x:c r="I508" s="50" t="n">
        <x:f>IF(COUNTIFS(Events!$B$4:$B$1456,$A508,Events!$C$4:$C$1456,"day60_activity_observed",Events!$D$4:$D$1456,"&gt;="&amp;($B508+60),Events!$D$4:$D$1456,"&lt;="&amp;($B508+74))&gt;0,1,0)</x:f>
        <x:v>0</x:v>
      </x:c>
    </x:row>
    <x:row r="509">
      <x:c r="A509" s="50" t="str">
        <x:f>Members!A509</x:f>
        <x:v>SYN0506</x:v>
      </x:c>
      <x:c r="B509" s="51" t="n">
        <x:f>Members!B509</x:f>
        <x:v>46044</x:v>
      </x:c>
      <x:c r="C509" s="50" t="str">
        <x:f>Members!C509</x:f>
        <x:v>Employer</x:v>
      </x:c>
      <x:c r="D509" s="50" t="n">
        <x:f>IF($B509&lt;='Scorecard'!$B$3-7,1,0)</x:f>
        <x:v>1</x:v>
      </x:c>
      <x:c r="E509" s="50" t="n">
        <x:f>IF(COUNTIFS(Events!$B$4:$B$1456,$A509,Events!$C$4:$C$1456,"coach_contact_completed",Events!$D$4:$D$1456,"&gt;="&amp;($B509+0),Events!$D$4:$D$1456,"&lt;="&amp;($B509+7))&gt;0,1,0)</x:f>
        <x:v>0</x:v>
      </x:c>
      <x:c r="F509" s="50" t="n">
        <x:f>IF($B509&lt;='Scorecard'!$B$3-37,1,0)</x:f>
        <x:v>1</x:v>
      </x:c>
      <x:c r="G509" s="50" t="n">
        <x:f>IF(COUNTIFS(Events!$B$4:$B$1456,$A509,Events!$C$4:$C$1456,"day30_checkin_completed",Events!$D$4:$D$1456,"&gt;="&amp;($B509+28),Events!$D$4:$D$1456,"&lt;="&amp;($B509+37))&gt;0,1,0)</x:f>
        <x:v>1</x:v>
      </x:c>
      <x:c r="H509" s="50" t="n">
        <x:f>IF($B509&lt;='Scorecard'!$B$3-74,1,0)</x:f>
        <x:v>1</x:v>
      </x:c>
      <x:c r="I509" s="50" t="n">
        <x:f>IF(COUNTIFS(Events!$B$4:$B$1456,$A509,Events!$C$4:$C$1456,"day60_activity_observed",Events!$D$4:$D$1456,"&gt;="&amp;($B509+60),Events!$D$4:$D$1456,"&lt;="&amp;($B509+74))&gt;0,1,0)</x:f>
        <x:v>0</x:v>
      </x:c>
    </x:row>
    <x:row r="510">
      <x:c r="A510" s="50" t="str">
        <x:f>Members!A510</x:f>
        <x:v>SYN0507</x:v>
      </x:c>
      <x:c r="B510" s="51" t="n">
        <x:f>Members!B510</x:f>
        <x:v>46032</x:v>
      </x:c>
      <x:c r="C510" s="50" t="str">
        <x:f>Members!C510</x:f>
        <x:v>Direct</x:v>
      </x:c>
      <x:c r="D510" s="50" t="n">
        <x:f>IF($B510&lt;='Scorecard'!$B$3-7,1,0)</x:f>
        <x:v>1</x:v>
      </x:c>
      <x:c r="E510" s="50" t="n">
        <x:f>IF(COUNTIFS(Events!$B$4:$B$1456,$A510,Events!$C$4:$C$1456,"coach_contact_completed",Events!$D$4:$D$1456,"&gt;="&amp;($B510+0),Events!$D$4:$D$1456,"&lt;="&amp;($B510+7))&gt;0,1,0)</x:f>
        <x:v>1</x:v>
      </x:c>
      <x:c r="F510" s="50" t="n">
        <x:f>IF($B510&lt;='Scorecard'!$B$3-37,1,0)</x:f>
        <x:v>1</x:v>
      </x:c>
      <x:c r="G510" s="50" t="n">
        <x:f>IF(COUNTIFS(Events!$B$4:$B$1456,$A510,Events!$C$4:$C$1456,"day30_checkin_completed",Events!$D$4:$D$1456,"&gt;="&amp;($B510+28),Events!$D$4:$D$1456,"&lt;="&amp;($B510+37))&gt;0,1,0)</x:f>
        <x:v>0</x:v>
      </x:c>
      <x:c r="H510" s="50" t="n">
        <x:f>IF($B510&lt;='Scorecard'!$B$3-74,1,0)</x:f>
        <x:v>1</x:v>
      </x:c>
      <x:c r="I510" s="50" t="n">
        <x:f>IF(COUNTIFS(Events!$B$4:$B$1456,$A510,Events!$C$4:$C$1456,"day60_activity_observed",Events!$D$4:$D$1456,"&gt;="&amp;($B510+60),Events!$D$4:$D$1456,"&lt;="&amp;($B510+74))&gt;0,1,0)</x:f>
        <x:v>1</x:v>
      </x:c>
    </x:row>
    <x:row r="511">
      <x:c r="A511" s="50" t="str">
        <x:f>Members!A511</x:f>
        <x:v>SYN0508</x:v>
      </x:c>
      <x:c r="B511" s="51" t="n">
        <x:f>Members!B511</x:f>
        <x:v>46184</x:v>
      </x:c>
      <x:c r="C511" s="50" t="str">
        <x:f>Members!C511</x:f>
        <x:v>Direct</x:v>
      </x:c>
      <x:c r="D511" s="50" t="n">
        <x:f>IF($B511&lt;='Scorecard'!$B$3-7,1,0)</x:f>
        <x:v>1</x:v>
      </x:c>
      <x:c r="E511" s="50" t="n">
        <x:f>IF(COUNTIFS(Events!$B$4:$B$1456,$A511,Events!$C$4:$C$1456,"coach_contact_completed",Events!$D$4:$D$1456,"&gt;="&amp;($B511+0),Events!$D$4:$D$1456,"&lt;="&amp;($B511+7))&gt;0,1,0)</x:f>
        <x:v>0</x:v>
      </x:c>
      <x:c r="F511" s="50" t="n">
        <x:f>IF($B511&lt;='Scorecard'!$B$3-37,1,0)</x:f>
        <x:v>1</x:v>
      </x:c>
      <x:c r="G511" s="50" t="n">
        <x:f>IF(COUNTIFS(Events!$B$4:$B$1456,$A511,Events!$C$4:$C$1456,"day30_checkin_completed",Events!$D$4:$D$1456,"&gt;="&amp;($B511+28),Events!$D$4:$D$1456,"&lt;="&amp;($B511+37))&gt;0,1,0)</x:f>
        <x:v>0</x:v>
      </x:c>
      <x:c r="H511" s="50" t="n">
        <x:f>IF($B511&lt;='Scorecard'!$B$3-74,1,0)</x:f>
        <x:v>1</x:v>
      </x:c>
      <x:c r="I511" s="50" t="n">
        <x:f>IF(COUNTIFS(Events!$B$4:$B$1456,$A511,Events!$C$4:$C$1456,"day60_activity_observed",Events!$D$4:$D$1456,"&gt;="&amp;($B511+60),Events!$D$4:$D$1456,"&lt;="&amp;($B511+74))&gt;0,1,0)</x:f>
        <x:v>0</x:v>
      </x:c>
    </x:row>
    <x:row r="512">
      <x:c r="A512" s="50" t="str">
        <x:f>Members!A512</x:f>
        <x:v>SYN0509</x:v>
      </x:c>
      <x:c r="B512" s="51" t="n">
        <x:f>Members!B512</x:f>
        <x:v>46025</x:v>
      </x:c>
      <x:c r="C512" s="50" t="str">
        <x:f>Members!C512</x:f>
        <x:v>Direct</x:v>
      </x:c>
      <x:c r="D512" s="50" t="n">
        <x:f>IF($B512&lt;='Scorecard'!$B$3-7,1,0)</x:f>
        <x:v>1</x:v>
      </x:c>
      <x:c r="E512" s="50" t="n">
        <x:f>IF(COUNTIFS(Events!$B$4:$B$1456,$A512,Events!$C$4:$C$1456,"coach_contact_completed",Events!$D$4:$D$1456,"&gt;="&amp;($B512+0),Events!$D$4:$D$1456,"&lt;="&amp;($B512+7))&gt;0,1,0)</x:f>
        <x:v>1</x:v>
      </x:c>
      <x:c r="F512" s="50" t="n">
        <x:f>IF($B512&lt;='Scorecard'!$B$3-37,1,0)</x:f>
        <x:v>1</x:v>
      </x:c>
      <x:c r="G512" s="50" t="n">
        <x:f>IF(COUNTIFS(Events!$B$4:$B$1456,$A512,Events!$C$4:$C$1456,"day30_checkin_completed",Events!$D$4:$D$1456,"&gt;="&amp;($B512+28),Events!$D$4:$D$1456,"&lt;="&amp;($B512+37))&gt;0,1,0)</x:f>
        <x:v>0</x:v>
      </x:c>
      <x:c r="H512" s="50" t="n">
        <x:f>IF($B512&lt;='Scorecard'!$B$3-74,1,0)</x:f>
        <x:v>1</x:v>
      </x:c>
      <x:c r="I512" s="50" t="n">
        <x:f>IF(COUNTIFS(Events!$B$4:$B$1456,$A512,Events!$C$4:$C$1456,"day60_activity_observed",Events!$D$4:$D$1456,"&gt;="&amp;($B512+60),Events!$D$4:$D$1456,"&lt;="&amp;($B512+74))&gt;0,1,0)</x:f>
        <x:v>1</x:v>
      </x:c>
    </x:row>
    <x:row r="513">
      <x:c r="A513" s="50" t="str">
        <x:f>Members!A513</x:f>
        <x:v>SYN0510</x:v>
      </x:c>
      <x:c r="B513" s="51" t="n">
        <x:f>Members!B513</x:f>
        <x:v>46078</x:v>
      </x:c>
      <x:c r="C513" s="50" t="str">
        <x:f>Members!C513</x:f>
        <x:v>Direct</x:v>
      </x:c>
      <x:c r="D513" s="50" t="n">
        <x:f>IF($B513&lt;='Scorecard'!$B$3-7,1,0)</x:f>
        <x:v>1</x:v>
      </x:c>
      <x:c r="E513" s="50" t="n">
        <x:f>IF(COUNTIFS(Events!$B$4:$B$1456,$A513,Events!$C$4:$C$1456,"coach_contact_completed",Events!$D$4:$D$1456,"&gt;="&amp;($B513+0),Events!$D$4:$D$1456,"&lt;="&amp;($B513+7))&gt;0,1,0)</x:f>
        <x:v>0</x:v>
      </x:c>
      <x:c r="F513" s="50" t="n">
        <x:f>IF($B513&lt;='Scorecard'!$B$3-37,1,0)</x:f>
        <x:v>1</x:v>
      </x:c>
      <x:c r="G513" s="50" t="n">
        <x:f>IF(COUNTIFS(Events!$B$4:$B$1456,$A513,Events!$C$4:$C$1456,"day30_checkin_completed",Events!$D$4:$D$1456,"&gt;="&amp;($B513+28),Events!$D$4:$D$1456,"&lt;="&amp;($B513+37))&gt;0,1,0)</x:f>
        <x:v>0</x:v>
      </x:c>
      <x:c r="H513" s="50" t="n">
        <x:f>IF($B513&lt;='Scorecard'!$B$3-74,1,0)</x:f>
        <x:v>1</x:v>
      </x:c>
      <x:c r="I513" s="50" t="n">
        <x:f>IF(COUNTIFS(Events!$B$4:$B$1456,$A513,Events!$C$4:$C$1456,"day60_activity_observed",Events!$D$4:$D$1456,"&gt;="&amp;($B513+60),Events!$D$4:$D$1456,"&lt;="&amp;($B513+74))&gt;0,1,0)</x:f>
        <x:v>1</x:v>
      </x:c>
    </x:row>
    <x:row r="514">
      <x:c r="A514" s="50" t="str">
        <x:f>Members!A514</x:f>
        <x:v>SYN0511</x:v>
      </x:c>
      <x:c r="B514" s="51" t="n">
        <x:f>Members!B514</x:f>
        <x:v>46255</x:v>
      </x:c>
      <x:c r="C514" s="50" t="str">
        <x:f>Members!C514</x:f>
        <x:v>Direct</x:v>
      </x:c>
      <x:c r="D514" s="50" t="n">
        <x:f>IF($B514&lt;='Scorecard'!$B$3-7,1,0)</x:f>
        <x:v>1</x:v>
      </x:c>
      <x:c r="E514" s="50" t="n">
        <x:f>IF(COUNTIFS(Events!$B$4:$B$1456,$A514,Events!$C$4:$C$1456,"coach_contact_completed",Events!$D$4:$D$1456,"&gt;="&amp;($B514+0),Events!$D$4:$D$1456,"&lt;="&amp;($B514+7))&gt;0,1,0)</x:f>
        <x:v>1</x:v>
      </x:c>
      <x:c r="F514" s="50" t="n">
        <x:f>IF($B514&lt;='Scorecard'!$B$3-37,1,0)</x:f>
        <x:v>1</x:v>
      </x:c>
      <x:c r="G514" s="50" t="n">
        <x:f>IF(COUNTIFS(Events!$B$4:$B$1456,$A514,Events!$C$4:$C$1456,"day30_checkin_completed",Events!$D$4:$D$1456,"&gt;="&amp;($B514+28),Events!$D$4:$D$1456,"&lt;="&amp;($B514+37))&gt;0,1,0)</x:f>
        <x:v>1</x:v>
      </x:c>
      <x:c r="H514" s="50" t="n">
        <x:f>IF($B514&lt;='Scorecard'!$B$3-74,1,0)</x:f>
        <x:v>0</x:v>
      </x:c>
      <x:c r="I514" s="50" t="n">
        <x:f>IF(COUNTIFS(Events!$B$4:$B$1456,$A514,Events!$C$4:$C$1456,"day60_activity_observed",Events!$D$4:$D$1456,"&gt;="&amp;($B514+60),Events!$D$4:$D$1456,"&lt;="&amp;($B514+74))&gt;0,1,0)</x:f>
        <x:v>0</x:v>
      </x:c>
    </x:row>
    <x:row r="515">
      <x:c r="A515" s="50" t="str">
        <x:f>Members!A515</x:f>
        <x:v>SYN0512</x:v>
      </x:c>
      <x:c r="B515" s="51" t="n">
        <x:f>Members!B515</x:f>
        <x:v>46179</x:v>
      </x:c>
      <x:c r="C515" s="50" t="str">
        <x:f>Members!C515</x:f>
        <x:v>Employer</x:v>
      </x:c>
      <x:c r="D515" s="50" t="n">
        <x:f>IF($B515&lt;='Scorecard'!$B$3-7,1,0)</x:f>
        <x:v>1</x:v>
      </x:c>
      <x:c r="E515" s="50" t="n">
        <x:f>IF(COUNTIFS(Events!$B$4:$B$1456,$A515,Events!$C$4:$C$1456,"coach_contact_completed",Events!$D$4:$D$1456,"&gt;="&amp;($B515+0),Events!$D$4:$D$1456,"&lt;="&amp;($B515+7))&gt;0,1,0)</x:f>
        <x:v>0</x:v>
      </x:c>
      <x:c r="F515" s="50" t="n">
        <x:f>IF($B515&lt;='Scorecard'!$B$3-37,1,0)</x:f>
        <x:v>1</x:v>
      </x:c>
      <x:c r="G515" s="50" t="n">
        <x:f>IF(COUNTIFS(Events!$B$4:$B$1456,$A515,Events!$C$4:$C$1456,"day30_checkin_completed",Events!$D$4:$D$1456,"&gt;="&amp;($B515+28),Events!$D$4:$D$1456,"&lt;="&amp;($B515+37))&gt;0,1,0)</x:f>
        <x:v>1</x:v>
      </x:c>
      <x:c r="H515" s="50" t="n">
        <x:f>IF($B515&lt;='Scorecard'!$B$3-74,1,0)</x:f>
        <x:v>1</x:v>
      </x:c>
      <x:c r="I515" s="50" t="n">
        <x:f>IF(COUNTIFS(Events!$B$4:$B$1456,$A515,Events!$C$4:$C$1456,"day60_activity_observed",Events!$D$4:$D$1456,"&gt;="&amp;($B515+60),Events!$D$4:$D$1456,"&lt;="&amp;($B515+74))&gt;0,1,0)</x:f>
        <x:v>0</x:v>
      </x:c>
    </x:row>
    <x:row r="516">
      <x:c r="A516" s="50" t="str">
        <x:f>Members!A516</x:f>
        <x:v>SYN0513</x:v>
      </x:c>
      <x:c r="B516" s="51" t="n">
        <x:f>Members!B516</x:f>
        <x:v>46150</x:v>
      </x:c>
      <x:c r="C516" s="50" t="str">
        <x:f>Members!C516</x:f>
        <x:v>Direct</x:v>
      </x:c>
      <x:c r="D516" s="50" t="n">
        <x:f>IF($B516&lt;='Scorecard'!$B$3-7,1,0)</x:f>
        <x:v>1</x:v>
      </x:c>
      <x:c r="E516" s="50" t="n">
        <x:f>IF(COUNTIFS(Events!$B$4:$B$1456,$A516,Events!$C$4:$C$1456,"coach_contact_completed",Events!$D$4:$D$1456,"&gt;="&amp;($B516+0),Events!$D$4:$D$1456,"&lt;="&amp;($B516+7))&gt;0,1,0)</x:f>
        <x:v>0</x:v>
      </x:c>
      <x:c r="F516" s="50" t="n">
        <x:f>IF($B516&lt;='Scorecard'!$B$3-37,1,0)</x:f>
        <x:v>1</x:v>
      </x:c>
      <x:c r="G516" s="50" t="n">
        <x:f>IF(COUNTIFS(Events!$B$4:$B$1456,$A516,Events!$C$4:$C$1456,"day30_checkin_completed",Events!$D$4:$D$1456,"&gt;="&amp;($B516+28),Events!$D$4:$D$1456,"&lt;="&amp;($B516+37))&gt;0,1,0)</x:f>
        <x:v>1</x:v>
      </x:c>
      <x:c r="H516" s="50" t="n">
        <x:f>IF($B516&lt;='Scorecard'!$B$3-74,1,0)</x:f>
        <x:v>1</x:v>
      </x:c>
      <x:c r="I516" s="50" t="n">
        <x:f>IF(COUNTIFS(Events!$B$4:$B$1456,$A516,Events!$C$4:$C$1456,"day60_activity_observed",Events!$D$4:$D$1456,"&gt;="&amp;($B516+60),Events!$D$4:$D$1456,"&lt;="&amp;($B516+74))&gt;0,1,0)</x:f>
        <x:v>1</x:v>
      </x:c>
    </x:row>
    <x:row r="517">
      <x:c r="A517" s="50" t="str">
        <x:f>Members!A517</x:f>
        <x:v>SYN0514</x:v>
      </x:c>
      <x:c r="B517" s="51" t="n">
        <x:f>Members!B517</x:f>
        <x:v>46221</x:v>
      </x:c>
      <x:c r="C517" s="50" t="str">
        <x:f>Members!C517</x:f>
        <x:v>Direct</x:v>
      </x:c>
      <x:c r="D517" s="50" t="n">
        <x:f>IF($B517&lt;='Scorecard'!$B$3-7,1,0)</x:f>
        <x:v>1</x:v>
      </x:c>
      <x:c r="E517" s="50" t="n">
        <x:f>IF(COUNTIFS(Events!$B$4:$B$1456,$A517,Events!$C$4:$C$1456,"coach_contact_completed",Events!$D$4:$D$1456,"&gt;="&amp;($B517+0),Events!$D$4:$D$1456,"&lt;="&amp;($B517+7))&gt;0,1,0)</x:f>
        <x:v>0</x:v>
      </x:c>
      <x:c r="F517" s="50" t="n">
        <x:f>IF($B517&lt;='Scorecard'!$B$3-37,1,0)</x:f>
        <x:v>1</x:v>
      </x:c>
      <x:c r="G517" s="50" t="n">
        <x:f>IF(COUNTIFS(Events!$B$4:$B$1456,$A517,Events!$C$4:$C$1456,"day30_checkin_completed",Events!$D$4:$D$1456,"&gt;="&amp;($B517+28),Events!$D$4:$D$1456,"&lt;="&amp;($B517+37))&gt;0,1,0)</x:f>
        <x:v>0</x:v>
      </x:c>
      <x:c r="H517" s="50" t="n">
        <x:f>IF($B517&lt;='Scorecard'!$B$3-74,1,0)</x:f>
        <x:v>1</x:v>
      </x:c>
      <x:c r="I517" s="50" t="n">
        <x:f>IF(COUNTIFS(Events!$B$4:$B$1456,$A517,Events!$C$4:$C$1456,"day60_activity_observed",Events!$D$4:$D$1456,"&gt;="&amp;($B517+60),Events!$D$4:$D$1456,"&lt;="&amp;($B517+74))&gt;0,1,0)</x:f>
        <x:v>1</x:v>
      </x:c>
    </x:row>
    <x:row r="518">
      <x:c r="A518" s="50" t="str">
        <x:f>Members!A518</x:f>
        <x:v>SYN0515</x:v>
      </x:c>
      <x:c r="B518" s="51" t="n">
        <x:f>Members!B518</x:f>
        <x:v>46113</x:v>
      </x:c>
      <x:c r="C518" s="50" t="str">
        <x:f>Members!C518</x:f>
        <x:v>Direct</x:v>
      </x:c>
      <x:c r="D518" s="50" t="n">
        <x:f>IF($B518&lt;='Scorecard'!$B$3-7,1,0)</x:f>
        <x:v>1</x:v>
      </x:c>
      <x:c r="E518" s="50" t="n">
        <x:f>IF(COUNTIFS(Events!$B$4:$B$1456,$A518,Events!$C$4:$C$1456,"coach_contact_completed",Events!$D$4:$D$1456,"&gt;="&amp;($B518+0),Events!$D$4:$D$1456,"&lt;="&amp;($B518+7))&gt;0,1,0)</x:f>
        <x:v>1</x:v>
      </x:c>
      <x:c r="F518" s="50" t="n">
        <x:f>IF($B518&lt;='Scorecard'!$B$3-37,1,0)</x:f>
        <x:v>1</x:v>
      </x:c>
      <x:c r="G518" s="50" t="n">
        <x:f>IF(COUNTIFS(Events!$B$4:$B$1456,$A518,Events!$C$4:$C$1456,"day30_checkin_completed",Events!$D$4:$D$1456,"&gt;="&amp;($B518+28),Events!$D$4:$D$1456,"&lt;="&amp;($B518+37))&gt;0,1,0)</x:f>
        <x:v>1</x:v>
      </x:c>
      <x:c r="H518" s="50" t="n">
        <x:f>IF($B518&lt;='Scorecard'!$B$3-74,1,0)</x:f>
        <x:v>1</x:v>
      </x:c>
      <x:c r="I518" s="50" t="n">
        <x:f>IF(COUNTIFS(Events!$B$4:$B$1456,$A518,Events!$C$4:$C$1456,"day60_activity_observed",Events!$D$4:$D$1456,"&gt;="&amp;($B518+60),Events!$D$4:$D$1456,"&lt;="&amp;($B518+74))&gt;0,1,0)</x:f>
        <x:v>1</x:v>
      </x:c>
    </x:row>
    <x:row r="519">
      <x:c r="A519" s="50" t="str">
        <x:f>Members!A519</x:f>
        <x:v>SYN0516</x:v>
      </x:c>
      <x:c r="B519" s="51" t="n">
        <x:f>Members!B519</x:f>
        <x:v>46137</x:v>
      </x:c>
      <x:c r="C519" s="50" t="str">
        <x:f>Members!C519</x:f>
        <x:v>Employer</x:v>
      </x:c>
      <x:c r="D519" s="50" t="n">
        <x:f>IF($B519&lt;='Scorecard'!$B$3-7,1,0)</x:f>
        <x:v>1</x:v>
      </x:c>
      <x:c r="E519" s="50" t="n">
        <x:f>IF(COUNTIFS(Events!$B$4:$B$1456,$A519,Events!$C$4:$C$1456,"coach_contact_completed",Events!$D$4:$D$1456,"&gt;="&amp;($B519+0),Events!$D$4:$D$1456,"&lt;="&amp;($B519+7))&gt;0,1,0)</x:f>
        <x:v>0</x:v>
      </x:c>
      <x:c r="F519" s="50" t="n">
        <x:f>IF($B519&lt;='Scorecard'!$B$3-37,1,0)</x:f>
        <x:v>1</x:v>
      </x:c>
      <x:c r="G519" s="50" t="n">
        <x:f>IF(COUNTIFS(Events!$B$4:$B$1456,$A519,Events!$C$4:$C$1456,"day30_checkin_completed",Events!$D$4:$D$1456,"&gt;="&amp;($B519+28),Events!$D$4:$D$1456,"&lt;="&amp;($B519+37))&gt;0,1,0)</x:f>
        <x:v>1</x:v>
      </x:c>
      <x:c r="H519" s="50" t="n">
        <x:f>IF($B519&lt;='Scorecard'!$B$3-74,1,0)</x:f>
        <x:v>1</x:v>
      </x:c>
      <x:c r="I519" s="50" t="n">
        <x:f>IF(COUNTIFS(Events!$B$4:$B$1456,$A519,Events!$C$4:$C$1456,"day60_activity_observed",Events!$D$4:$D$1456,"&gt;="&amp;($B519+60),Events!$D$4:$D$1456,"&lt;="&amp;($B519+74))&gt;0,1,0)</x:f>
        <x:v>0</x:v>
      </x:c>
    </x:row>
    <x:row r="520">
      <x:c r="A520" s="50" t="str">
        <x:f>Members!A520</x:f>
        <x:v>SYN0517</x:v>
      </x:c>
      <x:c r="B520" s="51" t="n">
        <x:f>Members!B520</x:f>
        <x:v>46225</x:v>
      </x:c>
      <x:c r="C520" s="50" t="str">
        <x:f>Members!C520</x:f>
        <x:v>Direct</x:v>
      </x:c>
      <x:c r="D520" s="50" t="n">
        <x:f>IF($B520&lt;='Scorecard'!$B$3-7,1,0)</x:f>
        <x:v>1</x:v>
      </x:c>
      <x:c r="E520" s="50" t="n">
        <x:f>IF(COUNTIFS(Events!$B$4:$B$1456,$A520,Events!$C$4:$C$1456,"coach_contact_completed",Events!$D$4:$D$1456,"&gt;="&amp;($B520+0),Events!$D$4:$D$1456,"&lt;="&amp;($B520+7))&gt;0,1,0)</x:f>
        <x:v>0</x:v>
      </x:c>
      <x:c r="F520" s="50" t="n">
        <x:f>IF($B520&lt;='Scorecard'!$B$3-37,1,0)</x:f>
        <x:v>1</x:v>
      </x:c>
      <x:c r="G520" s="50" t="n">
        <x:f>IF(COUNTIFS(Events!$B$4:$B$1456,$A520,Events!$C$4:$C$1456,"day30_checkin_completed",Events!$D$4:$D$1456,"&gt;="&amp;($B520+28),Events!$D$4:$D$1456,"&lt;="&amp;($B520+37))&gt;0,1,0)</x:f>
        <x:v>1</x:v>
      </x:c>
      <x:c r="H520" s="50" t="n">
        <x:f>IF($B520&lt;='Scorecard'!$B$3-74,1,0)</x:f>
        <x:v>0</x:v>
      </x:c>
      <x:c r="I520" s="50" t="n">
        <x:f>IF(COUNTIFS(Events!$B$4:$B$1456,$A520,Events!$C$4:$C$1456,"day60_activity_observed",Events!$D$4:$D$1456,"&gt;="&amp;($B520+60),Events!$D$4:$D$1456,"&lt;="&amp;($B520+74))&gt;0,1,0)</x:f>
        <x:v>0</x:v>
      </x:c>
    </x:row>
    <x:row r="521">
      <x:c r="A521" s="50" t="str">
        <x:f>Members!A521</x:f>
        <x:v>SYN0518</x:v>
      </x:c>
      <x:c r="B521" s="51" t="n">
        <x:f>Members!B521</x:f>
        <x:v>46252</x:v>
      </x:c>
      <x:c r="C521" s="50" t="str">
        <x:f>Members!C521</x:f>
        <x:v>Direct</x:v>
      </x:c>
      <x:c r="D521" s="50" t="n">
        <x:f>IF($B521&lt;='Scorecard'!$B$3-7,1,0)</x:f>
        <x:v>1</x:v>
      </x:c>
      <x:c r="E521" s="50" t="n">
        <x:f>IF(COUNTIFS(Events!$B$4:$B$1456,$A521,Events!$C$4:$C$1456,"coach_contact_completed",Events!$D$4:$D$1456,"&gt;="&amp;($B521+0),Events!$D$4:$D$1456,"&lt;="&amp;($B521+7))&gt;0,1,0)</x:f>
        <x:v>1</x:v>
      </x:c>
      <x:c r="F521" s="50" t="n">
        <x:f>IF($B521&lt;='Scorecard'!$B$3-37,1,0)</x:f>
        <x:v>1</x:v>
      </x:c>
      <x:c r="G521" s="50" t="n">
        <x:f>IF(COUNTIFS(Events!$B$4:$B$1456,$A521,Events!$C$4:$C$1456,"day30_checkin_completed",Events!$D$4:$D$1456,"&gt;="&amp;($B521+28),Events!$D$4:$D$1456,"&lt;="&amp;($B521+37))&gt;0,1,0)</x:f>
        <x:v>1</x:v>
      </x:c>
      <x:c r="H521" s="50" t="n">
        <x:f>IF($B521&lt;='Scorecard'!$B$3-74,1,0)</x:f>
        <x:v>0</x:v>
      </x:c>
      <x:c r="I521" s="50" t="n">
        <x:f>IF(COUNTIFS(Events!$B$4:$B$1456,$A521,Events!$C$4:$C$1456,"day60_activity_observed",Events!$D$4:$D$1456,"&gt;="&amp;($B521+60),Events!$D$4:$D$1456,"&lt;="&amp;($B521+74))&gt;0,1,0)</x:f>
        <x:v>0</x:v>
      </x:c>
    </x:row>
    <x:row r="522">
      <x:c r="A522" s="50" t="str">
        <x:f>Members!A522</x:f>
        <x:v>SYN0519</x:v>
      </x:c>
      <x:c r="B522" s="51" t="n">
        <x:f>Members!B522</x:f>
        <x:v>46258</x:v>
      </x:c>
      <x:c r="C522" s="50" t="str">
        <x:f>Members!C522</x:f>
        <x:v>Direct</x:v>
      </x:c>
      <x:c r="D522" s="50" t="n">
        <x:f>IF($B522&lt;='Scorecard'!$B$3-7,1,0)</x:f>
        <x:v>1</x:v>
      </x:c>
      <x:c r="E522" s="50" t="n">
        <x:f>IF(COUNTIFS(Events!$B$4:$B$1456,$A522,Events!$C$4:$C$1456,"coach_contact_completed",Events!$D$4:$D$1456,"&gt;="&amp;($B522+0),Events!$D$4:$D$1456,"&lt;="&amp;($B522+7))&gt;0,1,0)</x:f>
        <x:v>1</x:v>
      </x:c>
      <x:c r="F522" s="50" t="n">
        <x:f>IF($B522&lt;='Scorecard'!$B$3-37,1,0)</x:f>
        <x:v>1</x:v>
      </x:c>
      <x:c r="G522" s="50" t="n">
        <x:f>IF(COUNTIFS(Events!$B$4:$B$1456,$A522,Events!$C$4:$C$1456,"day30_checkin_completed",Events!$D$4:$D$1456,"&gt;="&amp;($B522+28),Events!$D$4:$D$1456,"&lt;="&amp;($B522+37))&gt;0,1,0)</x:f>
        <x:v>1</x:v>
      </x:c>
      <x:c r="H522" s="50" t="n">
        <x:f>IF($B522&lt;='Scorecard'!$B$3-74,1,0)</x:f>
        <x:v>0</x:v>
      </x:c>
      <x:c r="I522" s="50" t="n">
        <x:f>IF(COUNTIFS(Events!$B$4:$B$1456,$A522,Events!$C$4:$C$1456,"day60_activity_observed",Events!$D$4:$D$1456,"&gt;="&amp;($B522+60),Events!$D$4:$D$1456,"&lt;="&amp;($B522+74))&gt;0,1,0)</x:f>
        <x:v>0</x:v>
      </x:c>
    </x:row>
    <x:row r="523">
      <x:c r="A523" s="50" t="str">
        <x:f>Members!A523</x:f>
        <x:v>SYN0520</x:v>
      </x:c>
      <x:c r="B523" s="51" t="n">
        <x:f>Members!B523</x:f>
        <x:v>46107</x:v>
      </x:c>
      <x:c r="C523" s="50" t="str">
        <x:f>Members!C523</x:f>
        <x:v>Direct</x:v>
      </x:c>
      <x:c r="D523" s="50" t="n">
        <x:f>IF($B523&lt;='Scorecard'!$B$3-7,1,0)</x:f>
        <x:v>1</x:v>
      </x:c>
      <x:c r="E523" s="50" t="n">
        <x:f>IF(COUNTIFS(Events!$B$4:$B$1456,$A523,Events!$C$4:$C$1456,"coach_contact_completed",Events!$D$4:$D$1456,"&gt;="&amp;($B523+0),Events!$D$4:$D$1456,"&lt;="&amp;($B523+7))&gt;0,1,0)</x:f>
        <x:v>0</x:v>
      </x:c>
      <x:c r="F523" s="50" t="n">
        <x:f>IF($B523&lt;='Scorecard'!$B$3-37,1,0)</x:f>
        <x:v>1</x:v>
      </x:c>
      <x:c r="G523" s="50" t="n">
        <x:f>IF(COUNTIFS(Events!$B$4:$B$1456,$A523,Events!$C$4:$C$1456,"day30_checkin_completed",Events!$D$4:$D$1456,"&gt;="&amp;($B523+28),Events!$D$4:$D$1456,"&lt;="&amp;($B523+37))&gt;0,1,0)</x:f>
        <x:v>1</x:v>
      </x:c>
      <x:c r="H523" s="50" t="n">
        <x:f>IF($B523&lt;='Scorecard'!$B$3-74,1,0)</x:f>
        <x:v>1</x:v>
      </x:c>
      <x:c r="I523" s="50" t="n">
        <x:f>IF(COUNTIFS(Events!$B$4:$B$1456,$A523,Events!$C$4:$C$1456,"day60_activity_observed",Events!$D$4:$D$1456,"&gt;="&amp;($B523+60),Events!$D$4:$D$1456,"&lt;="&amp;($B523+74))&gt;0,1,0)</x:f>
        <x:v>0</x:v>
      </x:c>
    </x:row>
    <x:row r="524">
      <x:c r="A524" s="50" t="str">
        <x:f>Members!A524</x:f>
        <x:v>SYN0521</x:v>
      </x:c>
      <x:c r="B524" s="51" t="n">
        <x:f>Members!B524</x:f>
        <x:v>46195</x:v>
      </x:c>
      <x:c r="C524" s="50" t="str">
        <x:f>Members!C524</x:f>
        <x:v>Direct</x:v>
      </x:c>
      <x:c r="D524" s="50" t="n">
        <x:f>IF($B524&lt;='Scorecard'!$B$3-7,1,0)</x:f>
        <x:v>1</x:v>
      </x:c>
      <x:c r="E524" s="50" t="n">
        <x:f>IF(COUNTIFS(Events!$B$4:$B$1456,$A524,Events!$C$4:$C$1456,"coach_contact_completed",Events!$D$4:$D$1456,"&gt;="&amp;($B524+0),Events!$D$4:$D$1456,"&lt;="&amp;($B524+7))&gt;0,1,0)</x:f>
        <x:v>1</x:v>
      </x:c>
      <x:c r="F524" s="50" t="n">
        <x:f>IF($B524&lt;='Scorecard'!$B$3-37,1,0)</x:f>
        <x:v>1</x:v>
      </x:c>
      <x:c r="G524" s="50" t="n">
        <x:f>IF(COUNTIFS(Events!$B$4:$B$1456,$A524,Events!$C$4:$C$1456,"day30_checkin_completed",Events!$D$4:$D$1456,"&gt;="&amp;($B524+28),Events!$D$4:$D$1456,"&lt;="&amp;($B524+37))&gt;0,1,0)</x:f>
        <x:v>1</x:v>
      </x:c>
      <x:c r="H524" s="50" t="n">
        <x:f>IF($B524&lt;='Scorecard'!$B$3-74,1,0)</x:f>
        <x:v>1</x:v>
      </x:c>
      <x:c r="I524" s="50" t="n">
        <x:f>IF(COUNTIFS(Events!$B$4:$B$1456,$A524,Events!$C$4:$C$1456,"day60_activity_observed",Events!$D$4:$D$1456,"&gt;="&amp;($B524+60),Events!$D$4:$D$1456,"&lt;="&amp;($B524+74))&gt;0,1,0)</x:f>
        <x:v>1</x:v>
      </x:c>
    </x:row>
    <x:row r="525">
      <x:c r="A525" s="50" t="str">
        <x:f>Members!A525</x:f>
        <x:v>SYN0522</x:v>
      </x:c>
      <x:c r="B525" s="51" t="n">
        <x:f>Members!B525</x:f>
        <x:v>46196</x:v>
      </x:c>
      <x:c r="C525" s="50" t="str">
        <x:f>Members!C525</x:f>
        <x:v>Direct</x:v>
      </x:c>
      <x:c r="D525" s="50" t="n">
        <x:f>IF($B525&lt;='Scorecard'!$B$3-7,1,0)</x:f>
        <x:v>1</x:v>
      </x:c>
      <x:c r="E525" s="50" t="n">
        <x:f>IF(COUNTIFS(Events!$B$4:$B$1456,$A525,Events!$C$4:$C$1456,"coach_contact_completed",Events!$D$4:$D$1456,"&gt;="&amp;($B525+0),Events!$D$4:$D$1456,"&lt;="&amp;($B525+7))&gt;0,1,0)</x:f>
        <x:v>0</x:v>
      </x:c>
      <x:c r="F525" s="50" t="n">
        <x:f>IF($B525&lt;='Scorecard'!$B$3-37,1,0)</x:f>
        <x:v>1</x:v>
      </x:c>
      <x:c r="G525" s="50" t="n">
        <x:f>IF(COUNTIFS(Events!$B$4:$B$1456,$A525,Events!$C$4:$C$1456,"day30_checkin_completed",Events!$D$4:$D$1456,"&gt;="&amp;($B525+28),Events!$D$4:$D$1456,"&lt;="&amp;($B525+37))&gt;0,1,0)</x:f>
        <x:v>0</x:v>
      </x:c>
      <x:c r="H525" s="50" t="n">
        <x:f>IF($B525&lt;='Scorecard'!$B$3-74,1,0)</x:f>
        <x:v>1</x:v>
      </x:c>
      <x:c r="I525" s="50" t="n">
        <x:f>IF(COUNTIFS(Events!$B$4:$B$1456,$A525,Events!$C$4:$C$1456,"day60_activity_observed",Events!$D$4:$D$1456,"&gt;="&amp;($B525+60),Events!$D$4:$D$1456,"&lt;="&amp;($B525+74))&gt;0,1,0)</x:f>
        <x:v>0</x:v>
      </x:c>
    </x:row>
    <x:row r="526">
      <x:c r="A526" s="50" t="str">
        <x:f>Members!A526</x:f>
        <x:v>SYN0523</x:v>
      </x:c>
      <x:c r="B526" s="51" t="n">
        <x:f>Members!B526</x:f>
        <x:v>46038</x:v>
      </x:c>
      <x:c r="C526" s="50" t="str">
        <x:f>Members!C526</x:f>
        <x:v>Direct</x:v>
      </x:c>
      <x:c r="D526" s="50" t="n">
        <x:f>IF($B526&lt;='Scorecard'!$B$3-7,1,0)</x:f>
        <x:v>1</x:v>
      </x:c>
      <x:c r="E526" s="50" t="n">
        <x:f>IF(COUNTIFS(Events!$B$4:$B$1456,$A526,Events!$C$4:$C$1456,"coach_contact_completed",Events!$D$4:$D$1456,"&gt;="&amp;($B526+0),Events!$D$4:$D$1456,"&lt;="&amp;($B526+7))&gt;0,1,0)</x:f>
        <x:v>1</x:v>
      </x:c>
      <x:c r="F526" s="50" t="n">
        <x:f>IF($B526&lt;='Scorecard'!$B$3-37,1,0)</x:f>
        <x:v>1</x:v>
      </x:c>
      <x:c r="G526" s="50" t="n">
        <x:f>IF(COUNTIFS(Events!$B$4:$B$1456,$A526,Events!$C$4:$C$1456,"day30_checkin_completed",Events!$D$4:$D$1456,"&gt;="&amp;($B526+28),Events!$D$4:$D$1456,"&lt;="&amp;($B526+37))&gt;0,1,0)</x:f>
        <x:v>1</x:v>
      </x:c>
      <x:c r="H526" s="50" t="n">
        <x:f>IF($B526&lt;='Scorecard'!$B$3-74,1,0)</x:f>
        <x:v>1</x:v>
      </x:c>
      <x:c r="I526" s="50" t="n">
        <x:f>IF(COUNTIFS(Events!$B$4:$B$1456,$A526,Events!$C$4:$C$1456,"day60_activity_observed",Events!$D$4:$D$1456,"&gt;="&amp;($B526+60),Events!$D$4:$D$1456,"&lt;="&amp;($B526+74))&gt;0,1,0)</x:f>
        <x:v>0</x:v>
      </x:c>
    </x:row>
    <x:row r="527">
      <x:c r="A527" s="50" t="str">
        <x:f>Members!A527</x:f>
        <x:v>SYN0524</x:v>
      </x:c>
      <x:c r="B527" s="51" t="n">
        <x:f>Members!B527</x:f>
        <x:v>46185</x:v>
      </x:c>
      <x:c r="C527" s="50" t="str">
        <x:f>Members!C527</x:f>
        <x:v>Direct</x:v>
      </x:c>
      <x:c r="D527" s="50" t="n">
        <x:f>IF($B527&lt;='Scorecard'!$B$3-7,1,0)</x:f>
        <x:v>1</x:v>
      </x:c>
      <x:c r="E527" s="50" t="n">
        <x:f>IF(COUNTIFS(Events!$B$4:$B$1456,$A527,Events!$C$4:$C$1456,"coach_contact_completed",Events!$D$4:$D$1456,"&gt;="&amp;($B527+0),Events!$D$4:$D$1456,"&lt;="&amp;($B527+7))&gt;0,1,0)</x:f>
        <x:v>1</x:v>
      </x:c>
      <x:c r="F527" s="50" t="n">
        <x:f>IF($B527&lt;='Scorecard'!$B$3-37,1,0)</x:f>
        <x:v>1</x:v>
      </x:c>
      <x:c r="G527" s="50" t="n">
        <x:f>IF(COUNTIFS(Events!$B$4:$B$1456,$A527,Events!$C$4:$C$1456,"day30_checkin_completed",Events!$D$4:$D$1456,"&gt;="&amp;($B527+28),Events!$D$4:$D$1456,"&lt;="&amp;($B527+37))&gt;0,1,0)</x:f>
        <x:v>1</x:v>
      </x:c>
      <x:c r="H527" s="50" t="n">
        <x:f>IF($B527&lt;='Scorecard'!$B$3-74,1,0)</x:f>
        <x:v>1</x:v>
      </x:c>
      <x:c r="I527" s="50" t="n">
        <x:f>IF(COUNTIFS(Events!$B$4:$B$1456,$A527,Events!$C$4:$C$1456,"day60_activity_observed",Events!$D$4:$D$1456,"&gt;="&amp;($B527+60),Events!$D$4:$D$1456,"&lt;="&amp;($B527+74))&gt;0,1,0)</x:f>
        <x:v>0</x:v>
      </x:c>
    </x:row>
    <x:row r="528">
      <x:c r="A528" s="50" t="str">
        <x:f>Members!A528</x:f>
        <x:v>SYN0525</x:v>
      </x:c>
      <x:c r="B528" s="51" t="n">
        <x:f>Members!B528</x:f>
        <x:v>46079</x:v>
      </x:c>
      <x:c r="C528" s="50" t="str">
        <x:f>Members!C528</x:f>
        <x:v>Direct</x:v>
      </x:c>
      <x:c r="D528" s="50" t="n">
        <x:f>IF($B528&lt;='Scorecard'!$B$3-7,1,0)</x:f>
        <x:v>1</x:v>
      </x:c>
      <x:c r="E528" s="50" t="n">
        <x:f>IF(COUNTIFS(Events!$B$4:$B$1456,$A528,Events!$C$4:$C$1456,"coach_contact_completed",Events!$D$4:$D$1456,"&gt;="&amp;($B528+0),Events!$D$4:$D$1456,"&lt;="&amp;($B528+7))&gt;0,1,0)</x:f>
        <x:v>1</x:v>
      </x:c>
      <x:c r="F528" s="50" t="n">
        <x:f>IF($B528&lt;='Scorecard'!$B$3-37,1,0)</x:f>
        <x:v>1</x:v>
      </x:c>
      <x:c r="G528" s="50" t="n">
        <x:f>IF(COUNTIFS(Events!$B$4:$B$1456,$A528,Events!$C$4:$C$1456,"day30_checkin_completed",Events!$D$4:$D$1456,"&gt;="&amp;($B528+28),Events!$D$4:$D$1456,"&lt;="&amp;($B528+37))&gt;0,1,0)</x:f>
        <x:v>1</x:v>
      </x:c>
      <x:c r="H528" s="50" t="n">
        <x:f>IF($B528&lt;='Scorecard'!$B$3-74,1,0)</x:f>
        <x:v>1</x:v>
      </x:c>
      <x:c r="I528" s="50" t="n">
        <x:f>IF(COUNTIFS(Events!$B$4:$B$1456,$A528,Events!$C$4:$C$1456,"day60_activity_observed",Events!$D$4:$D$1456,"&gt;="&amp;($B528+60),Events!$D$4:$D$1456,"&lt;="&amp;($B528+74))&gt;0,1,0)</x:f>
        <x:v>1</x:v>
      </x:c>
    </x:row>
    <x:row r="529">
      <x:c r="A529" s="50" t="str">
        <x:f>Members!A529</x:f>
        <x:v>SYN0526</x:v>
      </x:c>
      <x:c r="B529" s="51" t="n">
        <x:f>Members!B529</x:f>
        <x:v>46097</x:v>
      </x:c>
      <x:c r="C529" s="50" t="str">
        <x:f>Members!C529</x:f>
        <x:v>Direct</x:v>
      </x:c>
      <x:c r="D529" s="50" t="n">
        <x:f>IF($B529&lt;='Scorecard'!$B$3-7,1,0)</x:f>
        <x:v>1</x:v>
      </x:c>
      <x:c r="E529" s="50" t="n">
        <x:f>IF(COUNTIFS(Events!$B$4:$B$1456,$A529,Events!$C$4:$C$1456,"coach_contact_completed",Events!$D$4:$D$1456,"&gt;="&amp;($B529+0),Events!$D$4:$D$1456,"&lt;="&amp;($B529+7))&gt;0,1,0)</x:f>
        <x:v>0</x:v>
      </x:c>
      <x:c r="F529" s="50" t="n">
        <x:f>IF($B529&lt;='Scorecard'!$B$3-37,1,0)</x:f>
        <x:v>1</x:v>
      </x:c>
      <x:c r="G529" s="50" t="n">
        <x:f>IF(COUNTIFS(Events!$B$4:$B$1456,$A529,Events!$C$4:$C$1456,"day30_checkin_completed",Events!$D$4:$D$1456,"&gt;="&amp;($B529+28),Events!$D$4:$D$1456,"&lt;="&amp;($B529+37))&gt;0,1,0)</x:f>
        <x:v>1</x:v>
      </x:c>
      <x:c r="H529" s="50" t="n">
        <x:f>IF($B529&lt;='Scorecard'!$B$3-74,1,0)</x:f>
        <x:v>1</x:v>
      </x:c>
      <x:c r="I529" s="50" t="n">
        <x:f>IF(COUNTIFS(Events!$B$4:$B$1456,$A529,Events!$C$4:$C$1456,"day60_activity_observed",Events!$D$4:$D$1456,"&gt;="&amp;($B529+60),Events!$D$4:$D$1456,"&lt;="&amp;($B529+74))&gt;0,1,0)</x:f>
        <x:v>0</x:v>
      </x:c>
    </x:row>
    <x:row r="530">
      <x:c r="A530" s="50" t="str">
        <x:f>Members!A530</x:f>
        <x:v>SYN0527</x:v>
      </x:c>
      <x:c r="B530" s="51" t="n">
        <x:f>Members!B530</x:f>
        <x:v>46073</x:v>
      </x:c>
      <x:c r="C530" s="50" t="str">
        <x:f>Members!C530</x:f>
        <x:v>Employer</x:v>
      </x:c>
      <x:c r="D530" s="50" t="n">
        <x:f>IF($B530&lt;='Scorecard'!$B$3-7,1,0)</x:f>
        <x:v>1</x:v>
      </x:c>
      <x:c r="E530" s="50" t="n">
        <x:f>IF(COUNTIFS(Events!$B$4:$B$1456,$A530,Events!$C$4:$C$1456,"coach_contact_completed",Events!$D$4:$D$1456,"&gt;="&amp;($B530+0),Events!$D$4:$D$1456,"&lt;="&amp;($B530+7))&gt;0,1,0)</x:f>
        <x:v>0</x:v>
      </x:c>
      <x:c r="F530" s="50" t="n">
        <x:f>IF($B530&lt;='Scorecard'!$B$3-37,1,0)</x:f>
        <x:v>1</x:v>
      </x:c>
      <x:c r="G530" s="50" t="n">
        <x:f>IF(COUNTIFS(Events!$B$4:$B$1456,$A530,Events!$C$4:$C$1456,"day30_checkin_completed",Events!$D$4:$D$1456,"&gt;="&amp;($B530+28),Events!$D$4:$D$1456,"&lt;="&amp;($B530+37))&gt;0,1,0)</x:f>
        <x:v>0</x:v>
      </x:c>
      <x:c r="H530" s="50" t="n">
        <x:f>IF($B530&lt;='Scorecard'!$B$3-74,1,0)</x:f>
        <x:v>1</x:v>
      </x:c>
      <x:c r="I530" s="50" t="n">
        <x:f>IF(COUNTIFS(Events!$B$4:$B$1456,$A530,Events!$C$4:$C$1456,"day60_activity_observed",Events!$D$4:$D$1456,"&gt;="&amp;($B530+60),Events!$D$4:$D$1456,"&lt;="&amp;($B530+74))&gt;0,1,0)</x:f>
        <x:v>1</x:v>
      </x:c>
    </x:row>
    <x:row r="531">
      <x:c r="A531" s="50" t="str">
        <x:f>Members!A531</x:f>
        <x:v>SYN0528</x:v>
      </x:c>
      <x:c r="B531" s="51" t="n">
        <x:f>Members!B531</x:f>
        <x:v>46191</x:v>
      </x:c>
      <x:c r="C531" s="50" t="str">
        <x:f>Members!C531</x:f>
        <x:v>Direct</x:v>
      </x:c>
      <x:c r="D531" s="50" t="n">
        <x:f>IF($B531&lt;='Scorecard'!$B$3-7,1,0)</x:f>
        <x:v>1</x:v>
      </x:c>
      <x:c r="E531" s="50" t="n">
        <x:f>IF(COUNTIFS(Events!$B$4:$B$1456,$A531,Events!$C$4:$C$1456,"coach_contact_completed",Events!$D$4:$D$1456,"&gt;="&amp;($B531+0),Events!$D$4:$D$1456,"&lt;="&amp;($B531+7))&gt;0,1,0)</x:f>
        <x:v>0</x:v>
      </x:c>
      <x:c r="F531" s="50" t="n">
        <x:f>IF($B531&lt;='Scorecard'!$B$3-37,1,0)</x:f>
        <x:v>1</x:v>
      </x:c>
      <x:c r="G531" s="50" t="n">
        <x:f>IF(COUNTIFS(Events!$B$4:$B$1456,$A531,Events!$C$4:$C$1456,"day30_checkin_completed",Events!$D$4:$D$1456,"&gt;="&amp;($B531+28),Events!$D$4:$D$1456,"&lt;="&amp;($B531+37))&gt;0,1,0)</x:f>
        <x:v>1</x:v>
      </x:c>
      <x:c r="H531" s="50" t="n">
        <x:f>IF($B531&lt;='Scorecard'!$B$3-74,1,0)</x:f>
        <x:v>1</x:v>
      </x:c>
      <x:c r="I531" s="50" t="n">
        <x:f>IF(COUNTIFS(Events!$B$4:$B$1456,$A531,Events!$C$4:$C$1456,"day60_activity_observed",Events!$D$4:$D$1456,"&gt;="&amp;($B531+60),Events!$D$4:$D$1456,"&lt;="&amp;($B531+74))&gt;0,1,0)</x:f>
        <x:v>0</x:v>
      </x:c>
    </x:row>
    <x:row r="532">
      <x:c r="A532" s="50" t="str">
        <x:f>Members!A532</x:f>
        <x:v>SYN0529</x:v>
      </x:c>
      <x:c r="B532" s="51" t="n">
        <x:f>Members!B532</x:f>
        <x:v>46151</x:v>
      </x:c>
      <x:c r="C532" s="50" t="str">
        <x:f>Members!C532</x:f>
        <x:v>Direct</x:v>
      </x:c>
      <x:c r="D532" s="50" t="n">
        <x:f>IF($B532&lt;='Scorecard'!$B$3-7,1,0)</x:f>
        <x:v>1</x:v>
      </x:c>
      <x:c r="E532" s="50" t="n">
        <x:f>IF(COUNTIFS(Events!$B$4:$B$1456,$A532,Events!$C$4:$C$1456,"coach_contact_completed",Events!$D$4:$D$1456,"&gt;="&amp;($B532+0),Events!$D$4:$D$1456,"&lt;="&amp;($B532+7))&gt;0,1,0)</x:f>
        <x:v>0</x:v>
      </x:c>
      <x:c r="F532" s="50" t="n">
        <x:f>IF($B532&lt;='Scorecard'!$B$3-37,1,0)</x:f>
        <x:v>1</x:v>
      </x:c>
      <x:c r="G532" s="50" t="n">
        <x:f>IF(COUNTIFS(Events!$B$4:$B$1456,$A532,Events!$C$4:$C$1456,"day30_checkin_completed",Events!$D$4:$D$1456,"&gt;="&amp;($B532+28),Events!$D$4:$D$1456,"&lt;="&amp;($B532+37))&gt;0,1,0)</x:f>
        <x:v>0</x:v>
      </x:c>
      <x:c r="H532" s="50" t="n">
        <x:f>IF($B532&lt;='Scorecard'!$B$3-74,1,0)</x:f>
        <x:v>1</x:v>
      </x:c>
      <x:c r="I532" s="50" t="n">
        <x:f>IF(COUNTIFS(Events!$B$4:$B$1456,$A532,Events!$C$4:$C$1456,"day60_activity_observed",Events!$D$4:$D$1456,"&gt;="&amp;($B532+60),Events!$D$4:$D$1456,"&lt;="&amp;($B532+74))&gt;0,1,0)</x:f>
        <x:v>1</x:v>
      </x:c>
    </x:row>
    <x:row r="533">
      <x:c r="A533" s="50" t="str">
        <x:f>Members!A533</x:f>
        <x:v>SYN0530</x:v>
      </x:c>
      <x:c r="B533" s="51" t="n">
        <x:f>Members!B533</x:f>
        <x:v>46062</x:v>
      </x:c>
      <x:c r="C533" s="50" t="str">
        <x:f>Members!C533</x:f>
        <x:v>Direct</x:v>
      </x:c>
      <x:c r="D533" s="50" t="n">
        <x:f>IF($B533&lt;='Scorecard'!$B$3-7,1,0)</x:f>
        <x:v>1</x:v>
      </x:c>
      <x:c r="E533" s="50" t="n">
        <x:f>IF(COUNTIFS(Events!$B$4:$B$1456,$A533,Events!$C$4:$C$1456,"coach_contact_completed",Events!$D$4:$D$1456,"&gt;="&amp;($B533+0),Events!$D$4:$D$1456,"&lt;="&amp;($B533+7))&gt;0,1,0)</x:f>
        <x:v>0</x:v>
      </x:c>
      <x:c r="F533" s="50" t="n">
        <x:f>IF($B533&lt;='Scorecard'!$B$3-37,1,0)</x:f>
        <x:v>1</x:v>
      </x:c>
      <x:c r="G533" s="50" t="n">
        <x:f>IF(COUNTIFS(Events!$B$4:$B$1456,$A533,Events!$C$4:$C$1456,"day30_checkin_completed",Events!$D$4:$D$1456,"&gt;="&amp;($B533+28),Events!$D$4:$D$1456,"&lt;="&amp;($B533+37))&gt;0,1,0)</x:f>
        <x:v>0</x:v>
      </x:c>
      <x:c r="H533" s="50" t="n">
        <x:f>IF($B533&lt;='Scorecard'!$B$3-74,1,0)</x:f>
        <x:v>1</x:v>
      </x:c>
      <x:c r="I533" s="50" t="n">
        <x:f>IF(COUNTIFS(Events!$B$4:$B$1456,$A533,Events!$C$4:$C$1456,"day60_activity_observed",Events!$D$4:$D$1456,"&gt;="&amp;($B533+60),Events!$D$4:$D$1456,"&lt;="&amp;($B533+74))&gt;0,1,0)</x:f>
        <x:v>0</x:v>
      </x:c>
    </x:row>
    <x:row r="534">
      <x:c r="A534" s="50" t="str">
        <x:f>Members!A534</x:f>
        <x:v>SYN0531</x:v>
      </x:c>
      <x:c r="B534" s="51" t="n">
        <x:f>Members!B534</x:f>
        <x:v>46062</x:v>
      </x:c>
      <x:c r="C534" s="50" t="str">
        <x:f>Members!C534</x:f>
        <x:v>Direct</x:v>
      </x:c>
      <x:c r="D534" s="50" t="n">
        <x:f>IF($B534&lt;='Scorecard'!$B$3-7,1,0)</x:f>
        <x:v>1</x:v>
      </x:c>
      <x:c r="E534" s="50" t="n">
        <x:f>IF(COUNTIFS(Events!$B$4:$B$1456,$A534,Events!$C$4:$C$1456,"coach_contact_completed",Events!$D$4:$D$1456,"&gt;="&amp;($B534+0),Events!$D$4:$D$1456,"&lt;="&amp;($B534+7))&gt;0,1,0)</x:f>
        <x:v>1</x:v>
      </x:c>
      <x:c r="F534" s="50" t="n">
        <x:f>IF($B534&lt;='Scorecard'!$B$3-37,1,0)</x:f>
        <x:v>1</x:v>
      </x:c>
      <x:c r="G534" s="50" t="n">
        <x:f>IF(COUNTIFS(Events!$B$4:$B$1456,$A534,Events!$C$4:$C$1456,"day30_checkin_completed",Events!$D$4:$D$1456,"&gt;="&amp;($B534+28),Events!$D$4:$D$1456,"&lt;="&amp;($B534+37))&gt;0,1,0)</x:f>
        <x:v>1</x:v>
      </x:c>
      <x:c r="H534" s="50" t="n">
        <x:f>IF($B534&lt;='Scorecard'!$B$3-74,1,0)</x:f>
        <x:v>1</x:v>
      </x:c>
      <x:c r="I534" s="50" t="n">
        <x:f>IF(COUNTIFS(Events!$B$4:$B$1456,$A534,Events!$C$4:$C$1456,"day60_activity_observed",Events!$D$4:$D$1456,"&gt;="&amp;($B534+60),Events!$D$4:$D$1456,"&lt;="&amp;($B534+74))&gt;0,1,0)</x:f>
        <x:v>0</x:v>
      </x:c>
    </x:row>
    <x:row r="535">
      <x:c r="A535" s="50" t="str">
        <x:f>Members!A535</x:f>
        <x:v>SYN0532</x:v>
      </x:c>
      <x:c r="B535" s="51" t="n">
        <x:f>Members!B535</x:f>
        <x:v>46154</x:v>
      </x:c>
      <x:c r="C535" s="50" t="str">
        <x:f>Members!C535</x:f>
        <x:v>Direct</x:v>
      </x:c>
      <x:c r="D535" s="50" t="n">
        <x:f>IF($B535&lt;='Scorecard'!$B$3-7,1,0)</x:f>
        <x:v>1</x:v>
      </x:c>
      <x:c r="E535" s="50" t="n">
        <x:f>IF(COUNTIFS(Events!$B$4:$B$1456,$A535,Events!$C$4:$C$1456,"coach_contact_completed",Events!$D$4:$D$1456,"&gt;="&amp;($B535+0),Events!$D$4:$D$1456,"&lt;="&amp;($B535+7))&gt;0,1,0)</x:f>
        <x:v>1</x:v>
      </x:c>
      <x:c r="F535" s="50" t="n">
        <x:f>IF($B535&lt;='Scorecard'!$B$3-37,1,0)</x:f>
        <x:v>1</x:v>
      </x:c>
      <x:c r="G535" s="50" t="n">
        <x:f>IF(COUNTIFS(Events!$B$4:$B$1456,$A535,Events!$C$4:$C$1456,"day30_checkin_completed",Events!$D$4:$D$1456,"&gt;="&amp;($B535+28),Events!$D$4:$D$1456,"&lt;="&amp;($B535+37))&gt;0,1,0)</x:f>
        <x:v>1</x:v>
      </x:c>
      <x:c r="H535" s="50" t="n">
        <x:f>IF($B535&lt;='Scorecard'!$B$3-74,1,0)</x:f>
        <x:v>1</x:v>
      </x:c>
      <x:c r="I535" s="50" t="n">
        <x:f>IF(COUNTIFS(Events!$B$4:$B$1456,$A535,Events!$C$4:$C$1456,"day60_activity_observed",Events!$D$4:$D$1456,"&gt;="&amp;($B535+60),Events!$D$4:$D$1456,"&lt;="&amp;($B535+74))&gt;0,1,0)</x:f>
        <x:v>0</x:v>
      </x:c>
    </x:row>
    <x:row r="536">
      <x:c r="A536" s="50" t="str">
        <x:f>Members!A536</x:f>
        <x:v>SYN0533</x:v>
      </x:c>
      <x:c r="B536" s="51" t="n">
        <x:f>Members!B536</x:f>
        <x:v>46167</x:v>
      </x:c>
      <x:c r="C536" s="50" t="str">
        <x:f>Members!C536</x:f>
        <x:v>Employer</x:v>
      </x:c>
      <x:c r="D536" s="50" t="n">
        <x:f>IF($B536&lt;='Scorecard'!$B$3-7,1,0)</x:f>
        <x:v>1</x:v>
      </x:c>
      <x:c r="E536" s="50" t="n">
        <x:f>IF(COUNTIFS(Events!$B$4:$B$1456,$A536,Events!$C$4:$C$1456,"coach_contact_completed",Events!$D$4:$D$1456,"&gt;="&amp;($B536+0),Events!$D$4:$D$1456,"&lt;="&amp;($B536+7))&gt;0,1,0)</x:f>
        <x:v>0</x:v>
      </x:c>
      <x:c r="F536" s="50" t="n">
        <x:f>IF($B536&lt;='Scorecard'!$B$3-37,1,0)</x:f>
        <x:v>1</x:v>
      </x:c>
      <x:c r="G536" s="50" t="n">
        <x:f>IF(COUNTIFS(Events!$B$4:$B$1456,$A536,Events!$C$4:$C$1456,"day30_checkin_completed",Events!$D$4:$D$1456,"&gt;="&amp;($B536+28),Events!$D$4:$D$1456,"&lt;="&amp;($B536+37))&gt;0,1,0)</x:f>
        <x:v>1</x:v>
      </x:c>
      <x:c r="H536" s="50" t="n">
        <x:f>IF($B536&lt;='Scorecard'!$B$3-74,1,0)</x:f>
        <x:v>1</x:v>
      </x:c>
      <x:c r="I536" s="50" t="n">
        <x:f>IF(COUNTIFS(Events!$B$4:$B$1456,$A536,Events!$C$4:$C$1456,"day60_activity_observed",Events!$D$4:$D$1456,"&gt;="&amp;($B536+60),Events!$D$4:$D$1456,"&lt;="&amp;($B536+74))&gt;0,1,0)</x:f>
        <x:v>1</x:v>
      </x:c>
    </x:row>
    <x:row r="537">
      <x:c r="A537" s="50" t="str">
        <x:f>Members!A537</x:f>
        <x:v>SYN0534</x:v>
      </x:c>
      <x:c r="B537" s="51" t="n">
        <x:f>Members!B537</x:f>
        <x:v>46252</x:v>
      </x:c>
      <x:c r="C537" s="50" t="str">
        <x:f>Members!C537</x:f>
        <x:v>Employer</x:v>
      </x:c>
      <x:c r="D537" s="50" t="n">
        <x:f>IF($B537&lt;='Scorecard'!$B$3-7,1,0)</x:f>
        <x:v>1</x:v>
      </x:c>
      <x:c r="E537" s="50" t="n">
        <x:f>IF(COUNTIFS(Events!$B$4:$B$1456,$A537,Events!$C$4:$C$1456,"coach_contact_completed",Events!$D$4:$D$1456,"&gt;="&amp;($B537+0),Events!$D$4:$D$1456,"&lt;="&amp;($B537+7))&gt;0,1,0)</x:f>
        <x:v>0</x:v>
      </x:c>
      <x:c r="F537" s="50" t="n">
        <x:f>IF($B537&lt;='Scorecard'!$B$3-37,1,0)</x:f>
        <x:v>1</x:v>
      </x:c>
      <x:c r="G537" s="50" t="n">
        <x:f>IF(COUNTIFS(Events!$B$4:$B$1456,$A537,Events!$C$4:$C$1456,"day30_checkin_completed",Events!$D$4:$D$1456,"&gt;="&amp;($B537+28),Events!$D$4:$D$1456,"&lt;="&amp;($B537+37))&gt;0,1,0)</x:f>
        <x:v>0</x:v>
      </x:c>
      <x:c r="H537" s="50" t="n">
        <x:f>IF($B537&lt;='Scorecard'!$B$3-74,1,0)</x:f>
        <x:v>0</x:v>
      </x:c>
      <x:c r="I537" s="50" t="n">
        <x:f>IF(COUNTIFS(Events!$B$4:$B$1456,$A537,Events!$C$4:$C$1456,"day60_activity_observed",Events!$D$4:$D$1456,"&gt;="&amp;($B537+60),Events!$D$4:$D$1456,"&lt;="&amp;($B537+74))&gt;0,1,0)</x:f>
        <x:v>0</x:v>
      </x:c>
    </x:row>
    <x:row r="538">
      <x:c r="A538" s="50" t="str">
        <x:f>Members!A538</x:f>
        <x:v>SYN0535</x:v>
      </x:c>
      <x:c r="B538" s="51" t="n">
        <x:f>Members!B538</x:f>
        <x:v>46201</x:v>
      </x:c>
      <x:c r="C538" s="50" t="str">
        <x:f>Members!C538</x:f>
        <x:v>Employer</x:v>
      </x:c>
      <x:c r="D538" s="50" t="n">
        <x:f>IF($B538&lt;='Scorecard'!$B$3-7,1,0)</x:f>
        <x:v>1</x:v>
      </x:c>
      <x:c r="E538" s="50" t="n">
        <x:f>IF(COUNTIFS(Events!$B$4:$B$1456,$A538,Events!$C$4:$C$1456,"coach_contact_completed",Events!$D$4:$D$1456,"&gt;="&amp;($B538+0),Events!$D$4:$D$1456,"&lt;="&amp;($B538+7))&gt;0,1,0)</x:f>
        <x:v>0</x:v>
      </x:c>
      <x:c r="F538" s="50" t="n">
        <x:f>IF($B538&lt;='Scorecard'!$B$3-37,1,0)</x:f>
        <x:v>1</x:v>
      </x:c>
      <x:c r="G538" s="50" t="n">
        <x:f>IF(COUNTIFS(Events!$B$4:$B$1456,$A538,Events!$C$4:$C$1456,"day30_checkin_completed",Events!$D$4:$D$1456,"&gt;="&amp;($B538+28),Events!$D$4:$D$1456,"&lt;="&amp;($B538+37))&gt;0,1,0)</x:f>
        <x:v>1</x:v>
      </x:c>
      <x:c r="H538" s="50" t="n">
        <x:f>IF($B538&lt;='Scorecard'!$B$3-74,1,0)</x:f>
        <x:v>1</x:v>
      </x:c>
      <x:c r="I538" s="50" t="n">
        <x:f>IF(COUNTIFS(Events!$B$4:$B$1456,$A538,Events!$C$4:$C$1456,"day60_activity_observed",Events!$D$4:$D$1456,"&gt;="&amp;($B538+60),Events!$D$4:$D$1456,"&lt;="&amp;($B538+74))&gt;0,1,0)</x:f>
        <x:v>1</x:v>
      </x:c>
    </x:row>
    <x:row r="539">
      <x:c r="A539" s="50" t="str">
        <x:f>Members!A539</x:f>
        <x:v>SYN0536</x:v>
      </x:c>
      <x:c r="B539" s="51" t="n">
        <x:f>Members!B539</x:f>
        <x:v>46054</x:v>
      </x:c>
      <x:c r="C539" s="50" t="str">
        <x:f>Members!C539</x:f>
        <x:v>Direct</x:v>
      </x:c>
      <x:c r="D539" s="50" t="n">
        <x:f>IF($B539&lt;='Scorecard'!$B$3-7,1,0)</x:f>
        <x:v>1</x:v>
      </x:c>
      <x:c r="E539" s="50" t="n">
        <x:f>IF(COUNTIFS(Events!$B$4:$B$1456,$A539,Events!$C$4:$C$1456,"coach_contact_completed",Events!$D$4:$D$1456,"&gt;="&amp;($B539+0),Events!$D$4:$D$1456,"&lt;="&amp;($B539+7))&gt;0,1,0)</x:f>
        <x:v>0</x:v>
      </x:c>
      <x:c r="F539" s="50" t="n">
        <x:f>IF($B539&lt;='Scorecard'!$B$3-37,1,0)</x:f>
        <x:v>1</x:v>
      </x:c>
      <x:c r="G539" s="50" t="n">
        <x:f>IF(COUNTIFS(Events!$B$4:$B$1456,$A539,Events!$C$4:$C$1456,"day30_checkin_completed",Events!$D$4:$D$1456,"&gt;="&amp;($B539+28),Events!$D$4:$D$1456,"&lt;="&amp;($B539+37))&gt;0,1,0)</x:f>
        <x:v>0</x:v>
      </x:c>
      <x:c r="H539" s="50" t="n">
        <x:f>IF($B539&lt;='Scorecard'!$B$3-74,1,0)</x:f>
        <x:v>1</x:v>
      </x:c>
      <x:c r="I539" s="50" t="n">
        <x:f>IF(COUNTIFS(Events!$B$4:$B$1456,$A539,Events!$C$4:$C$1456,"day60_activity_observed",Events!$D$4:$D$1456,"&gt;="&amp;($B539+60),Events!$D$4:$D$1456,"&lt;="&amp;($B539+74))&gt;0,1,0)</x:f>
        <x:v>0</x:v>
      </x:c>
    </x:row>
    <x:row r="540">
      <x:c r="A540" s="50" t="str">
        <x:f>Members!A540</x:f>
        <x:v>SYN0537</x:v>
      </x:c>
      <x:c r="B540" s="51" t="n">
        <x:f>Members!B540</x:f>
        <x:v>46047</x:v>
      </x:c>
      <x:c r="C540" s="50" t="str">
        <x:f>Members!C540</x:f>
        <x:v>Direct</x:v>
      </x:c>
      <x:c r="D540" s="50" t="n">
        <x:f>IF($B540&lt;='Scorecard'!$B$3-7,1,0)</x:f>
        <x:v>1</x:v>
      </x:c>
      <x:c r="E540" s="50" t="n">
        <x:f>IF(COUNTIFS(Events!$B$4:$B$1456,$A540,Events!$C$4:$C$1456,"coach_contact_completed",Events!$D$4:$D$1456,"&gt;="&amp;($B540+0),Events!$D$4:$D$1456,"&lt;="&amp;($B540+7))&gt;0,1,0)</x:f>
        <x:v>1</x:v>
      </x:c>
      <x:c r="F540" s="50" t="n">
        <x:f>IF($B540&lt;='Scorecard'!$B$3-37,1,0)</x:f>
        <x:v>1</x:v>
      </x:c>
      <x:c r="G540" s="50" t="n">
        <x:f>IF(COUNTIFS(Events!$B$4:$B$1456,$A540,Events!$C$4:$C$1456,"day30_checkin_completed",Events!$D$4:$D$1456,"&gt;="&amp;($B540+28),Events!$D$4:$D$1456,"&lt;="&amp;($B540+37))&gt;0,1,0)</x:f>
        <x:v>0</x:v>
      </x:c>
      <x:c r="H540" s="50" t="n">
        <x:f>IF($B540&lt;='Scorecard'!$B$3-74,1,0)</x:f>
        <x:v>1</x:v>
      </x:c>
      <x:c r="I540" s="50" t="n">
        <x:f>IF(COUNTIFS(Events!$B$4:$B$1456,$A540,Events!$C$4:$C$1456,"day60_activity_observed",Events!$D$4:$D$1456,"&gt;="&amp;($B540+60),Events!$D$4:$D$1456,"&lt;="&amp;($B540+74))&gt;0,1,0)</x:f>
        <x:v>1</x:v>
      </x:c>
    </x:row>
    <x:row r="541">
      <x:c r="A541" s="50" t="str">
        <x:f>Members!A541</x:f>
        <x:v>SYN0538</x:v>
      </x:c>
      <x:c r="B541" s="51" t="n">
        <x:f>Members!B541</x:f>
        <x:v>46144</x:v>
      </x:c>
      <x:c r="C541" s="50" t="str">
        <x:f>Members!C541</x:f>
        <x:v>Direct</x:v>
      </x:c>
      <x:c r="D541" s="50" t="n">
        <x:f>IF($B541&lt;='Scorecard'!$B$3-7,1,0)</x:f>
        <x:v>1</x:v>
      </x:c>
      <x:c r="E541" s="50" t="n">
        <x:f>IF(COUNTIFS(Events!$B$4:$B$1456,$A541,Events!$C$4:$C$1456,"coach_contact_completed",Events!$D$4:$D$1456,"&gt;="&amp;($B541+0),Events!$D$4:$D$1456,"&lt;="&amp;($B541+7))&gt;0,1,0)</x:f>
        <x:v>1</x:v>
      </x:c>
      <x:c r="F541" s="50" t="n">
        <x:f>IF($B541&lt;='Scorecard'!$B$3-37,1,0)</x:f>
        <x:v>1</x:v>
      </x:c>
      <x:c r="G541" s="50" t="n">
        <x:f>IF(COUNTIFS(Events!$B$4:$B$1456,$A541,Events!$C$4:$C$1456,"day30_checkin_completed",Events!$D$4:$D$1456,"&gt;="&amp;($B541+28),Events!$D$4:$D$1456,"&lt;="&amp;($B541+37))&gt;0,1,0)</x:f>
        <x:v>1</x:v>
      </x:c>
      <x:c r="H541" s="50" t="n">
        <x:f>IF($B541&lt;='Scorecard'!$B$3-74,1,0)</x:f>
        <x:v>1</x:v>
      </x:c>
      <x:c r="I541" s="50" t="n">
        <x:f>IF(COUNTIFS(Events!$B$4:$B$1456,$A541,Events!$C$4:$C$1456,"day60_activity_observed",Events!$D$4:$D$1456,"&gt;="&amp;($B541+60),Events!$D$4:$D$1456,"&lt;="&amp;($B541+74))&gt;0,1,0)</x:f>
        <x:v>1</x:v>
      </x:c>
    </x:row>
    <x:row r="542">
      <x:c r="A542" s="50" t="str">
        <x:f>Members!A542</x:f>
        <x:v>SYN0539</x:v>
      </x:c>
      <x:c r="B542" s="51" t="n">
        <x:f>Members!B542</x:f>
        <x:v>46092</x:v>
      </x:c>
      <x:c r="C542" s="50" t="str">
        <x:f>Members!C542</x:f>
        <x:v>Direct</x:v>
      </x:c>
      <x:c r="D542" s="50" t="n">
        <x:f>IF($B542&lt;='Scorecard'!$B$3-7,1,0)</x:f>
        <x:v>1</x:v>
      </x:c>
      <x:c r="E542" s="50" t="n">
        <x:f>IF(COUNTIFS(Events!$B$4:$B$1456,$A542,Events!$C$4:$C$1456,"coach_contact_completed",Events!$D$4:$D$1456,"&gt;="&amp;($B542+0),Events!$D$4:$D$1456,"&lt;="&amp;($B542+7))&gt;0,1,0)</x:f>
        <x:v>1</x:v>
      </x:c>
      <x:c r="F542" s="50" t="n">
        <x:f>IF($B542&lt;='Scorecard'!$B$3-37,1,0)</x:f>
        <x:v>1</x:v>
      </x:c>
      <x:c r="G542" s="50" t="n">
        <x:f>IF(COUNTIFS(Events!$B$4:$B$1456,$A542,Events!$C$4:$C$1456,"day30_checkin_completed",Events!$D$4:$D$1456,"&gt;="&amp;($B542+28),Events!$D$4:$D$1456,"&lt;="&amp;($B542+37))&gt;0,1,0)</x:f>
        <x:v>0</x:v>
      </x:c>
      <x:c r="H542" s="50" t="n">
        <x:f>IF($B542&lt;='Scorecard'!$B$3-74,1,0)</x:f>
        <x:v>1</x:v>
      </x:c>
      <x:c r="I542" s="50" t="n">
        <x:f>IF(COUNTIFS(Events!$B$4:$B$1456,$A542,Events!$C$4:$C$1456,"day60_activity_observed",Events!$D$4:$D$1456,"&gt;="&amp;($B542+60),Events!$D$4:$D$1456,"&lt;="&amp;($B542+74))&gt;0,1,0)</x:f>
        <x:v>0</x:v>
      </x:c>
    </x:row>
    <x:row r="543">
      <x:c r="A543" s="50" t="str">
        <x:f>Members!A543</x:f>
        <x:v>SYN0540</x:v>
      </x:c>
      <x:c r="B543" s="51" t="n">
        <x:f>Members!B543</x:f>
        <x:v>46175</x:v>
      </x:c>
      <x:c r="C543" s="50" t="str">
        <x:f>Members!C543</x:f>
        <x:v>Direct</x:v>
      </x:c>
      <x:c r="D543" s="50" t="n">
        <x:f>IF($B543&lt;='Scorecard'!$B$3-7,1,0)</x:f>
        <x:v>1</x:v>
      </x:c>
      <x:c r="E543" s="50" t="n">
        <x:f>IF(COUNTIFS(Events!$B$4:$B$1456,$A543,Events!$C$4:$C$1456,"coach_contact_completed",Events!$D$4:$D$1456,"&gt;="&amp;($B543+0),Events!$D$4:$D$1456,"&lt;="&amp;($B543+7))&gt;0,1,0)</x:f>
        <x:v>1</x:v>
      </x:c>
      <x:c r="F543" s="50" t="n">
        <x:f>IF($B543&lt;='Scorecard'!$B$3-37,1,0)</x:f>
        <x:v>1</x:v>
      </x:c>
      <x:c r="G543" s="50" t="n">
        <x:f>IF(COUNTIFS(Events!$B$4:$B$1456,$A543,Events!$C$4:$C$1456,"day30_checkin_completed",Events!$D$4:$D$1456,"&gt;="&amp;($B543+28),Events!$D$4:$D$1456,"&lt;="&amp;($B543+37))&gt;0,1,0)</x:f>
        <x:v>0</x:v>
      </x:c>
      <x:c r="H543" s="50" t="n">
        <x:f>IF($B543&lt;='Scorecard'!$B$3-74,1,0)</x:f>
        <x:v>1</x:v>
      </x:c>
      <x:c r="I543" s="50" t="n">
        <x:f>IF(COUNTIFS(Events!$B$4:$B$1456,$A543,Events!$C$4:$C$1456,"day60_activity_observed",Events!$D$4:$D$1456,"&gt;="&amp;($B543+60),Events!$D$4:$D$1456,"&lt;="&amp;($B543+74))&gt;0,1,0)</x:f>
        <x:v>1</x:v>
      </x:c>
    </x:row>
    <x:row r="544">
      <x:c r="A544" s="50" t="str">
        <x:f>Members!A544</x:f>
        <x:v>SYN0541</x:v>
      </x:c>
      <x:c r="B544" s="51" t="n">
        <x:f>Members!B544</x:f>
        <x:v>46186</x:v>
      </x:c>
      <x:c r="C544" s="50" t="str">
        <x:f>Members!C544</x:f>
        <x:v>Direct</x:v>
      </x:c>
      <x:c r="D544" s="50" t="n">
        <x:f>IF($B544&lt;='Scorecard'!$B$3-7,1,0)</x:f>
        <x:v>1</x:v>
      </x:c>
      <x:c r="E544" s="50" t="n">
        <x:f>IF(COUNTIFS(Events!$B$4:$B$1456,$A544,Events!$C$4:$C$1456,"coach_contact_completed",Events!$D$4:$D$1456,"&gt;="&amp;($B544+0),Events!$D$4:$D$1456,"&lt;="&amp;($B544+7))&gt;0,1,0)</x:f>
        <x:v>0</x:v>
      </x:c>
      <x:c r="F544" s="50" t="n">
        <x:f>IF($B544&lt;='Scorecard'!$B$3-37,1,0)</x:f>
        <x:v>1</x:v>
      </x:c>
      <x:c r="G544" s="50" t="n">
        <x:f>IF(COUNTIFS(Events!$B$4:$B$1456,$A544,Events!$C$4:$C$1456,"day30_checkin_completed",Events!$D$4:$D$1456,"&gt;="&amp;($B544+28),Events!$D$4:$D$1456,"&lt;="&amp;($B544+37))&gt;0,1,0)</x:f>
        <x:v>1</x:v>
      </x:c>
      <x:c r="H544" s="50" t="n">
        <x:f>IF($B544&lt;='Scorecard'!$B$3-74,1,0)</x:f>
        <x:v>1</x:v>
      </x:c>
      <x:c r="I544" s="50" t="n">
        <x:f>IF(COUNTIFS(Events!$B$4:$B$1456,$A544,Events!$C$4:$C$1456,"day60_activity_observed",Events!$D$4:$D$1456,"&gt;="&amp;($B544+60),Events!$D$4:$D$1456,"&lt;="&amp;($B544+74))&gt;0,1,0)</x:f>
        <x:v>1</x:v>
      </x:c>
    </x:row>
    <x:row r="545">
      <x:c r="A545" s="50" t="str">
        <x:f>Members!A545</x:f>
        <x:v>SYN0542</x:v>
      </x:c>
      <x:c r="B545" s="51" t="n">
        <x:f>Members!B545</x:f>
        <x:v>46106</x:v>
      </x:c>
      <x:c r="C545" s="50" t="str">
        <x:f>Members!C545</x:f>
        <x:v>Direct</x:v>
      </x:c>
      <x:c r="D545" s="50" t="n">
        <x:f>IF($B545&lt;='Scorecard'!$B$3-7,1,0)</x:f>
        <x:v>1</x:v>
      </x:c>
      <x:c r="E545" s="50" t="n">
        <x:f>IF(COUNTIFS(Events!$B$4:$B$1456,$A545,Events!$C$4:$C$1456,"coach_contact_completed",Events!$D$4:$D$1456,"&gt;="&amp;($B545+0),Events!$D$4:$D$1456,"&lt;="&amp;($B545+7))&gt;0,1,0)</x:f>
        <x:v>1</x:v>
      </x:c>
      <x:c r="F545" s="50" t="n">
        <x:f>IF($B545&lt;='Scorecard'!$B$3-37,1,0)</x:f>
        <x:v>1</x:v>
      </x:c>
      <x:c r="G545" s="50" t="n">
        <x:f>IF(COUNTIFS(Events!$B$4:$B$1456,$A545,Events!$C$4:$C$1456,"day30_checkin_completed",Events!$D$4:$D$1456,"&gt;="&amp;($B545+28),Events!$D$4:$D$1456,"&lt;="&amp;($B545+37))&gt;0,1,0)</x:f>
        <x:v>1</x:v>
      </x:c>
      <x:c r="H545" s="50" t="n">
        <x:f>IF($B545&lt;='Scorecard'!$B$3-74,1,0)</x:f>
        <x:v>1</x:v>
      </x:c>
      <x:c r="I545" s="50" t="n">
        <x:f>IF(COUNTIFS(Events!$B$4:$B$1456,$A545,Events!$C$4:$C$1456,"day60_activity_observed",Events!$D$4:$D$1456,"&gt;="&amp;($B545+60),Events!$D$4:$D$1456,"&lt;="&amp;($B545+74))&gt;0,1,0)</x:f>
        <x:v>1</x:v>
      </x:c>
    </x:row>
    <x:row r="546">
      <x:c r="A546" s="50" t="str">
        <x:f>Members!A546</x:f>
        <x:v>SYN0543</x:v>
      </x:c>
      <x:c r="B546" s="51" t="n">
        <x:f>Members!B546</x:f>
        <x:v>46089</x:v>
      </x:c>
      <x:c r="C546" s="50" t="str">
        <x:f>Members!C546</x:f>
        <x:v>Direct</x:v>
      </x:c>
      <x:c r="D546" s="50" t="n">
        <x:f>IF($B546&lt;='Scorecard'!$B$3-7,1,0)</x:f>
        <x:v>1</x:v>
      </x:c>
      <x:c r="E546" s="50" t="n">
        <x:f>IF(COUNTIFS(Events!$B$4:$B$1456,$A546,Events!$C$4:$C$1456,"coach_contact_completed",Events!$D$4:$D$1456,"&gt;="&amp;($B546+0),Events!$D$4:$D$1456,"&lt;="&amp;($B546+7))&gt;0,1,0)</x:f>
        <x:v>1</x:v>
      </x:c>
      <x:c r="F546" s="50" t="n">
        <x:f>IF($B546&lt;='Scorecard'!$B$3-37,1,0)</x:f>
        <x:v>1</x:v>
      </x:c>
      <x:c r="G546" s="50" t="n">
        <x:f>IF(COUNTIFS(Events!$B$4:$B$1456,$A546,Events!$C$4:$C$1456,"day30_checkin_completed",Events!$D$4:$D$1456,"&gt;="&amp;($B546+28),Events!$D$4:$D$1456,"&lt;="&amp;($B546+37))&gt;0,1,0)</x:f>
        <x:v>1</x:v>
      </x:c>
      <x:c r="H546" s="50" t="n">
        <x:f>IF($B546&lt;='Scorecard'!$B$3-74,1,0)</x:f>
        <x:v>1</x:v>
      </x:c>
      <x:c r="I546" s="50" t="n">
        <x:f>IF(COUNTIFS(Events!$B$4:$B$1456,$A546,Events!$C$4:$C$1456,"day60_activity_observed",Events!$D$4:$D$1456,"&gt;="&amp;($B546+60),Events!$D$4:$D$1456,"&lt;="&amp;($B546+74))&gt;0,1,0)</x:f>
        <x:v>1</x:v>
      </x:c>
    </x:row>
    <x:row r="547">
      <x:c r="A547" s="50" t="str">
        <x:f>Members!A547</x:f>
        <x:v>SYN0544</x:v>
      </x:c>
      <x:c r="B547" s="51" t="n">
        <x:f>Members!B547</x:f>
        <x:v>46170</x:v>
      </x:c>
      <x:c r="C547" s="50" t="str">
        <x:f>Members!C547</x:f>
        <x:v>Direct</x:v>
      </x:c>
      <x:c r="D547" s="50" t="n">
        <x:f>IF($B547&lt;='Scorecard'!$B$3-7,1,0)</x:f>
        <x:v>1</x:v>
      </x:c>
      <x:c r="E547" s="50" t="n">
        <x:f>IF(COUNTIFS(Events!$B$4:$B$1456,$A547,Events!$C$4:$C$1456,"coach_contact_completed",Events!$D$4:$D$1456,"&gt;="&amp;($B547+0),Events!$D$4:$D$1456,"&lt;="&amp;($B547+7))&gt;0,1,0)</x:f>
        <x:v>1</x:v>
      </x:c>
      <x:c r="F547" s="50" t="n">
        <x:f>IF($B547&lt;='Scorecard'!$B$3-37,1,0)</x:f>
        <x:v>1</x:v>
      </x:c>
      <x:c r="G547" s="50" t="n">
        <x:f>IF(COUNTIFS(Events!$B$4:$B$1456,$A547,Events!$C$4:$C$1456,"day30_checkin_completed",Events!$D$4:$D$1456,"&gt;="&amp;($B547+28),Events!$D$4:$D$1456,"&lt;="&amp;($B547+37))&gt;0,1,0)</x:f>
        <x:v>1</x:v>
      </x:c>
      <x:c r="H547" s="50" t="n">
        <x:f>IF($B547&lt;='Scorecard'!$B$3-74,1,0)</x:f>
        <x:v>1</x:v>
      </x:c>
      <x:c r="I547" s="50" t="n">
        <x:f>IF(COUNTIFS(Events!$B$4:$B$1456,$A547,Events!$C$4:$C$1456,"day60_activity_observed",Events!$D$4:$D$1456,"&gt;="&amp;($B547+60),Events!$D$4:$D$1456,"&lt;="&amp;($B547+74))&gt;0,1,0)</x:f>
        <x:v>0</x:v>
      </x:c>
    </x:row>
    <x:row r="548">
      <x:c r="A548" s="50" t="str">
        <x:f>Members!A548</x:f>
        <x:v>SYN0545</x:v>
      </x:c>
      <x:c r="B548" s="51" t="n">
        <x:f>Members!B548</x:f>
        <x:v>46224</x:v>
      </x:c>
      <x:c r="C548" s="50" t="str">
        <x:f>Members!C548</x:f>
        <x:v>Direct</x:v>
      </x:c>
      <x:c r="D548" s="50" t="n">
        <x:f>IF($B548&lt;='Scorecard'!$B$3-7,1,0)</x:f>
        <x:v>1</x:v>
      </x:c>
      <x:c r="E548" s="50" t="n">
        <x:f>IF(COUNTIFS(Events!$B$4:$B$1456,$A548,Events!$C$4:$C$1456,"coach_contact_completed",Events!$D$4:$D$1456,"&gt;="&amp;($B548+0),Events!$D$4:$D$1456,"&lt;="&amp;($B548+7))&gt;0,1,0)</x:f>
        <x:v>1</x:v>
      </x:c>
      <x:c r="F548" s="50" t="n">
        <x:f>IF($B548&lt;='Scorecard'!$B$3-37,1,0)</x:f>
        <x:v>1</x:v>
      </x:c>
      <x:c r="G548" s="50" t="n">
        <x:f>IF(COUNTIFS(Events!$B$4:$B$1456,$A548,Events!$C$4:$C$1456,"day30_checkin_completed",Events!$D$4:$D$1456,"&gt;="&amp;($B548+28),Events!$D$4:$D$1456,"&lt;="&amp;($B548+37))&gt;0,1,0)</x:f>
        <x:v>1</x:v>
      </x:c>
      <x:c r="H548" s="50" t="n">
        <x:f>IF($B548&lt;='Scorecard'!$B$3-74,1,0)</x:f>
        <x:v>0</x:v>
      </x:c>
      <x:c r="I548" s="50" t="n">
        <x:f>IF(COUNTIFS(Events!$B$4:$B$1456,$A548,Events!$C$4:$C$1456,"day60_activity_observed",Events!$D$4:$D$1456,"&gt;="&amp;($B548+60),Events!$D$4:$D$1456,"&lt;="&amp;($B548+74))&gt;0,1,0)</x:f>
        <x:v>0</x:v>
      </x:c>
    </x:row>
    <x:row r="549">
      <x:c r="A549" s="50" t="str">
        <x:f>Members!A549</x:f>
        <x:v>SYN0546</x:v>
      </x:c>
      <x:c r="B549" s="51" t="n">
        <x:f>Members!B549</x:f>
        <x:v>46105</x:v>
      </x:c>
      <x:c r="C549" s="50" t="str">
        <x:f>Members!C549</x:f>
        <x:v>Employer</x:v>
      </x:c>
      <x:c r="D549" s="50" t="n">
        <x:f>IF($B549&lt;='Scorecard'!$B$3-7,1,0)</x:f>
        <x:v>1</x:v>
      </x:c>
      <x:c r="E549" s="50" t="n">
        <x:f>IF(COUNTIFS(Events!$B$4:$B$1456,$A549,Events!$C$4:$C$1456,"coach_contact_completed",Events!$D$4:$D$1456,"&gt;="&amp;($B549+0),Events!$D$4:$D$1456,"&lt;="&amp;($B549+7))&gt;0,1,0)</x:f>
        <x:v>1</x:v>
      </x:c>
      <x:c r="F549" s="50" t="n">
        <x:f>IF($B549&lt;='Scorecard'!$B$3-37,1,0)</x:f>
        <x:v>1</x:v>
      </x:c>
      <x:c r="G549" s="50" t="n">
        <x:f>IF(COUNTIFS(Events!$B$4:$B$1456,$A549,Events!$C$4:$C$1456,"day30_checkin_completed",Events!$D$4:$D$1456,"&gt;="&amp;($B549+28),Events!$D$4:$D$1456,"&lt;="&amp;($B549+37))&gt;0,1,0)</x:f>
        <x:v>1</x:v>
      </x:c>
      <x:c r="H549" s="50" t="n">
        <x:f>IF($B549&lt;='Scorecard'!$B$3-74,1,0)</x:f>
        <x:v>1</x:v>
      </x:c>
      <x:c r="I549" s="50" t="n">
        <x:f>IF(COUNTIFS(Events!$B$4:$B$1456,$A549,Events!$C$4:$C$1456,"day60_activity_observed",Events!$D$4:$D$1456,"&gt;="&amp;($B549+60),Events!$D$4:$D$1456,"&lt;="&amp;($B549+74))&gt;0,1,0)</x:f>
        <x:v>1</x:v>
      </x:c>
    </x:row>
    <x:row r="550">
      <x:c r="A550" s="50" t="str">
        <x:f>Members!A550</x:f>
        <x:v>SYN0547</x:v>
      </x:c>
      <x:c r="B550" s="51" t="n">
        <x:f>Members!B550</x:f>
        <x:v>46081</x:v>
      </x:c>
      <x:c r="C550" s="50" t="str">
        <x:f>Members!C550</x:f>
        <x:v>Direct</x:v>
      </x:c>
      <x:c r="D550" s="50" t="n">
        <x:f>IF($B550&lt;='Scorecard'!$B$3-7,1,0)</x:f>
        <x:v>1</x:v>
      </x:c>
      <x:c r="E550" s="50" t="n">
        <x:f>IF(COUNTIFS(Events!$B$4:$B$1456,$A550,Events!$C$4:$C$1456,"coach_contact_completed",Events!$D$4:$D$1456,"&gt;="&amp;($B550+0),Events!$D$4:$D$1456,"&lt;="&amp;($B550+7))&gt;0,1,0)</x:f>
        <x:v>1</x:v>
      </x:c>
      <x:c r="F550" s="50" t="n">
        <x:f>IF($B550&lt;='Scorecard'!$B$3-37,1,0)</x:f>
        <x:v>1</x:v>
      </x:c>
      <x:c r="G550" s="50" t="n">
        <x:f>IF(COUNTIFS(Events!$B$4:$B$1456,$A550,Events!$C$4:$C$1456,"day30_checkin_completed",Events!$D$4:$D$1456,"&gt;="&amp;($B550+28),Events!$D$4:$D$1456,"&lt;="&amp;($B550+37))&gt;0,1,0)</x:f>
        <x:v>1</x:v>
      </x:c>
      <x:c r="H550" s="50" t="n">
        <x:f>IF($B550&lt;='Scorecard'!$B$3-74,1,0)</x:f>
        <x:v>1</x:v>
      </x:c>
      <x:c r="I550" s="50" t="n">
        <x:f>IF(COUNTIFS(Events!$B$4:$B$1456,$A550,Events!$C$4:$C$1456,"day60_activity_observed",Events!$D$4:$D$1456,"&gt;="&amp;($B550+60),Events!$D$4:$D$1456,"&lt;="&amp;($B550+74))&gt;0,1,0)</x:f>
        <x:v>0</x:v>
      </x:c>
    </x:row>
    <x:row r="551">
      <x:c r="A551" s="50" t="str">
        <x:f>Members!A551</x:f>
        <x:v>SYN0548</x:v>
      </x:c>
      <x:c r="B551" s="51" t="n">
        <x:f>Members!B551</x:f>
        <x:v>46191</x:v>
      </x:c>
      <x:c r="C551" s="50" t="str">
        <x:f>Members!C551</x:f>
        <x:v>Employer</x:v>
      </x:c>
      <x:c r="D551" s="50" t="n">
        <x:f>IF($B551&lt;='Scorecard'!$B$3-7,1,0)</x:f>
        <x:v>1</x:v>
      </x:c>
      <x:c r="E551" s="50" t="n">
        <x:f>IF(COUNTIFS(Events!$B$4:$B$1456,$A551,Events!$C$4:$C$1456,"coach_contact_completed",Events!$D$4:$D$1456,"&gt;="&amp;($B551+0),Events!$D$4:$D$1456,"&lt;="&amp;($B551+7))&gt;0,1,0)</x:f>
        <x:v>1</x:v>
      </x:c>
      <x:c r="F551" s="50" t="n">
        <x:f>IF($B551&lt;='Scorecard'!$B$3-37,1,0)</x:f>
        <x:v>1</x:v>
      </x:c>
      <x:c r="G551" s="50" t="n">
        <x:f>IF(COUNTIFS(Events!$B$4:$B$1456,$A551,Events!$C$4:$C$1456,"day30_checkin_completed",Events!$D$4:$D$1456,"&gt;="&amp;($B551+28),Events!$D$4:$D$1456,"&lt;="&amp;($B551+37))&gt;0,1,0)</x:f>
        <x:v>1</x:v>
      </x:c>
      <x:c r="H551" s="50" t="n">
        <x:f>IF($B551&lt;='Scorecard'!$B$3-74,1,0)</x:f>
        <x:v>1</x:v>
      </x:c>
      <x:c r="I551" s="50" t="n">
        <x:f>IF(COUNTIFS(Events!$B$4:$B$1456,$A551,Events!$C$4:$C$1456,"day60_activity_observed",Events!$D$4:$D$1456,"&gt;="&amp;($B551+60),Events!$D$4:$D$1456,"&lt;="&amp;($B551+74))&gt;0,1,0)</x:f>
        <x:v>1</x:v>
      </x:c>
    </x:row>
    <x:row r="552">
      <x:c r="A552" s="50" t="str">
        <x:f>Members!A552</x:f>
        <x:v>SYN0549</x:v>
      </x:c>
      <x:c r="B552" s="51" t="n">
        <x:f>Members!B552</x:f>
        <x:v>46038</x:v>
      </x:c>
      <x:c r="C552" s="50" t="str">
        <x:f>Members!C552</x:f>
        <x:v>Direct</x:v>
      </x:c>
      <x:c r="D552" s="50" t="n">
        <x:f>IF($B552&lt;='Scorecard'!$B$3-7,1,0)</x:f>
        <x:v>1</x:v>
      </x:c>
      <x:c r="E552" s="50" t="n">
        <x:f>IF(COUNTIFS(Events!$B$4:$B$1456,$A552,Events!$C$4:$C$1456,"coach_contact_completed",Events!$D$4:$D$1456,"&gt;="&amp;($B552+0),Events!$D$4:$D$1456,"&lt;="&amp;($B552+7))&gt;0,1,0)</x:f>
        <x:v>0</x:v>
      </x:c>
      <x:c r="F552" s="50" t="n">
        <x:f>IF($B552&lt;='Scorecard'!$B$3-37,1,0)</x:f>
        <x:v>1</x:v>
      </x:c>
      <x:c r="G552" s="50" t="n">
        <x:f>IF(COUNTIFS(Events!$B$4:$B$1456,$A552,Events!$C$4:$C$1456,"day30_checkin_completed",Events!$D$4:$D$1456,"&gt;="&amp;($B552+28),Events!$D$4:$D$1456,"&lt;="&amp;($B552+37))&gt;0,1,0)</x:f>
        <x:v>1</x:v>
      </x:c>
      <x:c r="H552" s="50" t="n">
        <x:f>IF($B552&lt;='Scorecard'!$B$3-74,1,0)</x:f>
        <x:v>1</x:v>
      </x:c>
      <x:c r="I552" s="50" t="n">
        <x:f>IF(COUNTIFS(Events!$B$4:$B$1456,$A552,Events!$C$4:$C$1456,"day60_activity_observed",Events!$D$4:$D$1456,"&gt;="&amp;($B552+60),Events!$D$4:$D$1456,"&lt;="&amp;($B552+74))&gt;0,1,0)</x:f>
        <x:v>0</x:v>
      </x:c>
    </x:row>
    <x:row r="553">
      <x:c r="A553" s="50" t="str">
        <x:f>Members!A553</x:f>
        <x:v>SYN0550</x:v>
      </x:c>
      <x:c r="B553" s="51" t="n">
        <x:f>Members!B553</x:f>
        <x:v>46122</x:v>
      </x:c>
      <x:c r="C553" s="50" t="str">
        <x:f>Members!C553</x:f>
        <x:v>Direct</x:v>
      </x:c>
      <x:c r="D553" s="50" t="n">
        <x:f>IF($B553&lt;='Scorecard'!$B$3-7,1,0)</x:f>
        <x:v>1</x:v>
      </x:c>
      <x:c r="E553" s="50" t="n">
        <x:f>IF(COUNTIFS(Events!$B$4:$B$1456,$A553,Events!$C$4:$C$1456,"coach_contact_completed",Events!$D$4:$D$1456,"&gt;="&amp;($B553+0),Events!$D$4:$D$1456,"&lt;="&amp;($B553+7))&gt;0,1,0)</x:f>
        <x:v>0</x:v>
      </x:c>
      <x:c r="F553" s="50" t="n">
        <x:f>IF($B553&lt;='Scorecard'!$B$3-37,1,0)</x:f>
        <x:v>1</x:v>
      </x:c>
      <x:c r="G553" s="50" t="n">
        <x:f>IF(COUNTIFS(Events!$B$4:$B$1456,$A553,Events!$C$4:$C$1456,"day30_checkin_completed",Events!$D$4:$D$1456,"&gt;="&amp;($B553+28),Events!$D$4:$D$1456,"&lt;="&amp;($B553+37))&gt;0,1,0)</x:f>
        <x:v>0</x:v>
      </x:c>
      <x:c r="H553" s="50" t="n">
        <x:f>IF($B553&lt;='Scorecard'!$B$3-74,1,0)</x:f>
        <x:v>1</x:v>
      </x:c>
      <x:c r="I553" s="50" t="n">
        <x:f>IF(COUNTIFS(Events!$B$4:$B$1456,$A553,Events!$C$4:$C$1456,"day60_activity_observed",Events!$D$4:$D$1456,"&gt;="&amp;($B553+60),Events!$D$4:$D$1456,"&lt;="&amp;($B553+74))&gt;0,1,0)</x:f>
        <x:v>0</x:v>
      </x:c>
    </x:row>
    <x:row r="554">
      <x:c r="A554" s="50" t="str">
        <x:f>Members!A554</x:f>
        <x:v>SYN0551</x:v>
      </x:c>
      <x:c r="B554" s="51" t="n">
        <x:f>Members!B554</x:f>
        <x:v>46168</x:v>
      </x:c>
      <x:c r="C554" s="50" t="str">
        <x:f>Members!C554</x:f>
        <x:v>Direct</x:v>
      </x:c>
      <x:c r="D554" s="50" t="n">
        <x:f>IF($B554&lt;='Scorecard'!$B$3-7,1,0)</x:f>
        <x:v>1</x:v>
      </x:c>
      <x:c r="E554" s="50" t="n">
        <x:f>IF(COUNTIFS(Events!$B$4:$B$1456,$A554,Events!$C$4:$C$1456,"coach_contact_completed",Events!$D$4:$D$1456,"&gt;="&amp;($B554+0),Events!$D$4:$D$1456,"&lt;="&amp;($B554+7))&gt;0,1,0)</x:f>
        <x:v>0</x:v>
      </x:c>
      <x:c r="F554" s="50" t="n">
        <x:f>IF($B554&lt;='Scorecard'!$B$3-37,1,0)</x:f>
        <x:v>1</x:v>
      </x:c>
      <x:c r="G554" s="50" t="n">
        <x:f>IF(COUNTIFS(Events!$B$4:$B$1456,$A554,Events!$C$4:$C$1456,"day30_checkin_completed",Events!$D$4:$D$1456,"&gt;="&amp;($B554+28),Events!$D$4:$D$1456,"&lt;="&amp;($B554+37))&gt;0,1,0)</x:f>
        <x:v>0</x:v>
      </x:c>
      <x:c r="H554" s="50" t="n">
        <x:f>IF($B554&lt;='Scorecard'!$B$3-74,1,0)</x:f>
        <x:v>1</x:v>
      </x:c>
      <x:c r="I554" s="50" t="n">
        <x:f>IF(COUNTIFS(Events!$B$4:$B$1456,$A554,Events!$C$4:$C$1456,"day60_activity_observed",Events!$D$4:$D$1456,"&gt;="&amp;($B554+60),Events!$D$4:$D$1456,"&lt;="&amp;($B554+74))&gt;0,1,0)</x:f>
        <x:v>0</x:v>
      </x:c>
    </x:row>
    <x:row r="555">
      <x:c r="A555" s="50" t="str">
        <x:f>Members!A555</x:f>
        <x:v>SYN0552</x:v>
      </x:c>
      <x:c r="B555" s="51" t="n">
        <x:f>Members!B555</x:f>
        <x:v>46090</x:v>
      </x:c>
      <x:c r="C555" s="50" t="str">
        <x:f>Members!C555</x:f>
        <x:v>Employer</x:v>
      </x:c>
      <x:c r="D555" s="50" t="n">
        <x:f>IF($B555&lt;='Scorecard'!$B$3-7,1,0)</x:f>
        <x:v>1</x:v>
      </x:c>
      <x:c r="E555" s="50" t="n">
        <x:f>IF(COUNTIFS(Events!$B$4:$B$1456,$A555,Events!$C$4:$C$1456,"coach_contact_completed",Events!$D$4:$D$1456,"&gt;="&amp;($B555+0),Events!$D$4:$D$1456,"&lt;="&amp;($B555+7))&gt;0,1,0)</x:f>
        <x:v>0</x:v>
      </x:c>
      <x:c r="F555" s="50" t="n">
        <x:f>IF($B555&lt;='Scorecard'!$B$3-37,1,0)</x:f>
        <x:v>1</x:v>
      </x:c>
      <x:c r="G555" s="50" t="n">
        <x:f>IF(COUNTIFS(Events!$B$4:$B$1456,$A555,Events!$C$4:$C$1456,"day30_checkin_completed",Events!$D$4:$D$1456,"&gt;="&amp;($B555+28),Events!$D$4:$D$1456,"&lt;="&amp;($B555+37))&gt;0,1,0)</x:f>
        <x:v>1</x:v>
      </x:c>
      <x:c r="H555" s="50" t="n">
        <x:f>IF($B555&lt;='Scorecard'!$B$3-74,1,0)</x:f>
        <x:v>1</x:v>
      </x:c>
      <x:c r="I555" s="50" t="n">
        <x:f>IF(COUNTIFS(Events!$B$4:$B$1456,$A555,Events!$C$4:$C$1456,"day60_activity_observed",Events!$D$4:$D$1456,"&gt;="&amp;($B555+60),Events!$D$4:$D$1456,"&lt;="&amp;($B555+74))&gt;0,1,0)</x:f>
        <x:v>1</x:v>
      </x:c>
    </x:row>
    <x:row r="556">
      <x:c r="A556" s="50" t="str">
        <x:f>Members!A556</x:f>
        <x:v>SYN0553</x:v>
      </x:c>
      <x:c r="B556" s="51" t="n">
        <x:f>Members!B556</x:f>
        <x:v>46181</x:v>
      </x:c>
      <x:c r="C556" s="50" t="str">
        <x:f>Members!C556</x:f>
        <x:v>Direct</x:v>
      </x:c>
      <x:c r="D556" s="50" t="n">
        <x:f>IF($B556&lt;='Scorecard'!$B$3-7,1,0)</x:f>
        <x:v>1</x:v>
      </x:c>
      <x:c r="E556" s="50" t="n">
        <x:f>IF(COUNTIFS(Events!$B$4:$B$1456,$A556,Events!$C$4:$C$1456,"coach_contact_completed",Events!$D$4:$D$1456,"&gt;="&amp;($B556+0),Events!$D$4:$D$1456,"&lt;="&amp;($B556+7))&gt;0,1,0)</x:f>
        <x:v>0</x:v>
      </x:c>
      <x:c r="F556" s="50" t="n">
        <x:f>IF($B556&lt;='Scorecard'!$B$3-37,1,0)</x:f>
        <x:v>1</x:v>
      </x:c>
      <x:c r="G556" s="50" t="n">
        <x:f>IF(COUNTIFS(Events!$B$4:$B$1456,$A556,Events!$C$4:$C$1456,"day30_checkin_completed",Events!$D$4:$D$1456,"&gt;="&amp;($B556+28),Events!$D$4:$D$1456,"&lt;="&amp;($B556+37))&gt;0,1,0)</x:f>
        <x:v>1</x:v>
      </x:c>
      <x:c r="H556" s="50" t="n">
        <x:f>IF($B556&lt;='Scorecard'!$B$3-74,1,0)</x:f>
        <x:v>1</x:v>
      </x:c>
      <x:c r="I556" s="50" t="n">
        <x:f>IF(COUNTIFS(Events!$B$4:$B$1456,$A556,Events!$C$4:$C$1456,"day60_activity_observed",Events!$D$4:$D$1456,"&gt;="&amp;($B556+60),Events!$D$4:$D$1456,"&lt;="&amp;($B556+74))&gt;0,1,0)</x:f>
        <x:v>1</x:v>
      </x:c>
    </x:row>
    <x:row r="557">
      <x:c r="A557" s="50" t="str">
        <x:f>Members!A557</x:f>
        <x:v>SYN0554</x:v>
      </x:c>
      <x:c r="B557" s="51" t="n">
        <x:f>Members!B557</x:f>
        <x:v>46196</x:v>
      </x:c>
      <x:c r="C557" s="50" t="str">
        <x:f>Members!C557</x:f>
        <x:v>Direct</x:v>
      </x:c>
      <x:c r="D557" s="50" t="n">
        <x:f>IF($B557&lt;='Scorecard'!$B$3-7,1,0)</x:f>
        <x:v>1</x:v>
      </x:c>
      <x:c r="E557" s="50" t="n">
        <x:f>IF(COUNTIFS(Events!$B$4:$B$1456,$A557,Events!$C$4:$C$1456,"coach_contact_completed",Events!$D$4:$D$1456,"&gt;="&amp;($B557+0),Events!$D$4:$D$1456,"&lt;="&amp;($B557+7))&gt;0,1,0)</x:f>
        <x:v>1</x:v>
      </x:c>
      <x:c r="F557" s="50" t="n">
        <x:f>IF($B557&lt;='Scorecard'!$B$3-37,1,0)</x:f>
        <x:v>1</x:v>
      </x:c>
      <x:c r="G557" s="50" t="n">
        <x:f>IF(COUNTIFS(Events!$B$4:$B$1456,$A557,Events!$C$4:$C$1456,"day30_checkin_completed",Events!$D$4:$D$1456,"&gt;="&amp;($B557+28),Events!$D$4:$D$1456,"&lt;="&amp;($B557+37))&gt;0,1,0)</x:f>
        <x:v>1</x:v>
      </x:c>
      <x:c r="H557" s="50" t="n">
        <x:f>IF($B557&lt;='Scorecard'!$B$3-74,1,0)</x:f>
        <x:v>1</x:v>
      </x:c>
      <x:c r="I557" s="50" t="n">
        <x:f>IF(COUNTIFS(Events!$B$4:$B$1456,$A557,Events!$C$4:$C$1456,"day60_activity_observed",Events!$D$4:$D$1456,"&gt;="&amp;($B557+60),Events!$D$4:$D$1456,"&lt;="&amp;($B557+74))&gt;0,1,0)</x:f>
        <x:v>1</x:v>
      </x:c>
    </x:row>
    <x:row r="558">
      <x:c r="A558" s="50" t="str">
        <x:f>Members!A558</x:f>
        <x:v>SYN0555</x:v>
      </x:c>
      <x:c r="B558" s="51" t="n">
        <x:f>Members!B558</x:f>
        <x:v>46133</x:v>
      </x:c>
      <x:c r="C558" s="50" t="str">
        <x:f>Members!C558</x:f>
        <x:v>Employer</x:v>
      </x:c>
      <x:c r="D558" s="50" t="n">
        <x:f>IF($B558&lt;='Scorecard'!$B$3-7,1,0)</x:f>
        <x:v>1</x:v>
      </x:c>
      <x:c r="E558" s="50" t="n">
        <x:f>IF(COUNTIFS(Events!$B$4:$B$1456,$A558,Events!$C$4:$C$1456,"coach_contact_completed",Events!$D$4:$D$1456,"&gt;="&amp;($B558+0),Events!$D$4:$D$1456,"&lt;="&amp;($B558+7))&gt;0,1,0)</x:f>
        <x:v>0</x:v>
      </x:c>
      <x:c r="F558" s="50" t="n">
        <x:f>IF($B558&lt;='Scorecard'!$B$3-37,1,0)</x:f>
        <x:v>1</x:v>
      </x:c>
      <x:c r="G558" s="50" t="n">
        <x:f>IF(COUNTIFS(Events!$B$4:$B$1456,$A558,Events!$C$4:$C$1456,"day30_checkin_completed",Events!$D$4:$D$1456,"&gt;="&amp;($B558+28),Events!$D$4:$D$1456,"&lt;="&amp;($B558+37))&gt;0,1,0)</x:f>
        <x:v>1</x:v>
      </x:c>
      <x:c r="H558" s="50" t="n">
        <x:f>IF($B558&lt;='Scorecard'!$B$3-74,1,0)</x:f>
        <x:v>1</x:v>
      </x:c>
      <x:c r="I558" s="50" t="n">
        <x:f>IF(COUNTIFS(Events!$B$4:$B$1456,$A558,Events!$C$4:$C$1456,"day60_activity_observed",Events!$D$4:$D$1456,"&gt;="&amp;($B558+60),Events!$D$4:$D$1456,"&lt;="&amp;($B558+74))&gt;0,1,0)</x:f>
        <x:v>1</x:v>
      </x:c>
    </x:row>
    <x:row r="559">
      <x:c r="A559" s="50" t="str">
        <x:f>Members!A559</x:f>
        <x:v>SYN0556</x:v>
      </x:c>
      <x:c r="B559" s="51" t="n">
        <x:f>Members!B559</x:f>
        <x:v>46262</x:v>
      </x:c>
      <x:c r="C559" s="50" t="str">
        <x:f>Members!C559</x:f>
        <x:v>Direct</x:v>
      </x:c>
      <x:c r="D559" s="50" t="n">
        <x:f>IF($B559&lt;='Scorecard'!$B$3-7,1,0)</x:f>
        <x:v>1</x:v>
      </x:c>
      <x:c r="E559" s="50" t="n">
        <x:f>IF(COUNTIFS(Events!$B$4:$B$1456,$A559,Events!$C$4:$C$1456,"coach_contact_completed",Events!$D$4:$D$1456,"&gt;="&amp;($B559+0),Events!$D$4:$D$1456,"&lt;="&amp;($B559+7))&gt;0,1,0)</x:f>
        <x:v>0</x:v>
      </x:c>
      <x:c r="F559" s="50" t="n">
        <x:f>IF($B559&lt;='Scorecard'!$B$3-37,1,0)</x:f>
        <x:v>0</x:v>
      </x:c>
      <x:c r="G559" s="50" t="n">
        <x:f>IF(COUNTIFS(Events!$B$4:$B$1456,$A559,Events!$C$4:$C$1456,"day30_checkin_completed",Events!$D$4:$D$1456,"&gt;="&amp;($B559+28),Events!$D$4:$D$1456,"&lt;="&amp;($B559+37))&gt;0,1,0)</x:f>
        <x:v>1</x:v>
      </x:c>
      <x:c r="H559" s="50" t="n">
        <x:f>IF($B559&lt;='Scorecard'!$B$3-74,1,0)</x:f>
        <x:v>0</x:v>
      </x:c>
      <x:c r="I559" s="50" t="n">
        <x:f>IF(COUNTIFS(Events!$B$4:$B$1456,$A559,Events!$C$4:$C$1456,"day60_activity_observed",Events!$D$4:$D$1456,"&gt;="&amp;($B559+60),Events!$D$4:$D$1456,"&lt;="&amp;($B559+74))&gt;0,1,0)</x:f>
        <x:v>0</x:v>
      </x:c>
    </x:row>
    <x:row r="560">
      <x:c r="A560" s="50" t="str">
        <x:f>Members!A560</x:f>
        <x:v>SYN0557</x:v>
      </x:c>
      <x:c r="B560" s="51" t="n">
        <x:f>Members!B560</x:f>
        <x:v>46062</x:v>
      </x:c>
      <x:c r="C560" s="50" t="str">
        <x:f>Members!C560</x:f>
        <x:v>Direct</x:v>
      </x:c>
      <x:c r="D560" s="50" t="n">
        <x:f>IF($B560&lt;='Scorecard'!$B$3-7,1,0)</x:f>
        <x:v>1</x:v>
      </x:c>
      <x:c r="E560" s="50" t="n">
        <x:f>IF(COUNTIFS(Events!$B$4:$B$1456,$A560,Events!$C$4:$C$1456,"coach_contact_completed",Events!$D$4:$D$1456,"&gt;="&amp;($B560+0),Events!$D$4:$D$1456,"&lt;="&amp;($B560+7))&gt;0,1,0)</x:f>
        <x:v>1</x:v>
      </x:c>
      <x:c r="F560" s="50" t="n">
        <x:f>IF($B560&lt;='Scorecard'!$B$3-37,1,0)</x:f>
        <x:v>1</x:v>
      </x:c>
      <x:c r="G560" s="50" t="n">
        <x:f>IF(COUNTIFS(Events!$B$4:$B$1456,$A560,Events!$C$4:$C$1456,"day30_checkin_completed",Events!$D$4:$D$1456,"&gt;="&amp;($B560+28),Events!$D$4:$D$1456,"&lt;="&amp;($B560+37))&gt;0,1,0)</x:f>
        <x:v>1</x:v>
      </x:c>
      <x:c r="H560" s="50" t="n">
        <x:f>IF($B560&lt;='Scorecard'!$B$3-74,1,0)</x:f>
        <x:v>1</x:v>
      </x:c>
      <x:c r="I560" s="50" t="n">
        <x:f>IF(COUNTIFS(Events!$B$4:$B$1456,$A560,Events!$C$4:$C$1456,"day60_activity_observed",Events!$D$4:$D$1456,"&gt;="&amp;($B560+60),Events!$D$4:$D$1456,"&lt;="&amp;($B560+74))&gt;0,1,0)</x:f>
        <x:v>1</x:v>
      </x:c>
    </x:row>
    <x:row r="561">
      <x:c r="A561" s="50" t="str">
        <x:f>Members!A561</x:f>
        <x:v>SYN0558</x:v>
      </x:c>
      <x:c r="B561" s="51" t="n">
        <x:f>Members!B561</x:f>
        <x:v>46211</x:v>
      </x:c>
      <x:c r="C561" s="50" t="str">
        <x:f>Members!C561</x:f>
        <x:v>Employer</x:v>
      </x:c>
      <x:c r="D561" s="50" t="n">
        <x:f>IF($B561&lt;='Scorecard'!$B$3-7,1,0)</x:f>
        <x:v>1</x:v>
      </x:c>
      <x:c r="E561" s="50" t="n">
        <x:f>IF(COUNTIFS(Events!$B$4:$B$1456,$A561,Events!$C$4:$C$1456,"coach_contact_completed",Events!$D$4:$D$1456,"&gt;="&amp;($B561+0),Events!$D$4:$D$1456,"&lt;="&amp;($B561+7))&gt;0,1,0)</x:f>
        <x:v>0</x:v>
      </x:c>
      <x:c r="F561" s="50" t="n">
        <x:f>IF($B561&lt;='Scorecard'!$B$3-37,1,0)</x:f>
        <x:v>1</x:v>
      </x:c>
      <x:c r="G561" s="50" t="n">
        <x:f>IF(COUNTIFS(Events!$B$4:$B$1456,$A561,Events!$C$4:$C$1456,"day30_checkin_completed",Events!$D$4:$D$1456,"&gt;="&amp;($B561+28),Events!$D$4:$D$1456,"&lt;="&amp;($B561+37))&gt;0,1,0)</x:f>
        <x:v>0</x:v>
      </x:c>
      <x:c r="H561" s="50" t="n">
        <x:f>IF($B561&lt;='Scorecard'!$B$3-74,1,0)</x:f>
        <x:v>1</x:v>
      </x:c>
      <x:c r="I561" s="50" t="n">
        <x:f>IF(COUNTIFS(Events!$B$4:$B$1456,$A561,Events!$C$4:$C$1456,"day60_activity_observed",Events!$D$4:$D$1456,"&gt;="&amp;($B561+60),Events!$D$4:$D$1456,"&lt;="&amp;($B561+74))&gt;0,1,0)</x:f>
        <x:v>1</x:v>
      </x:c>
    </x:row>
    <x:row r="562">
      <x:c r="A562" s="50" t="str">
        <x:f>Members!A562</x:f>
        <x:v>SYN0559</x:v>
      </x:c>
      <x:c r="B562" s="51" t="n">
        <x:f>Members!B562</x:f>
        <x:v>46045</x:v>
      </x:c>
      <x:c r="C562" s="50" t="str">
        <x:f>Members!C562</x:f>
        <x:v>Employer</x:v>
      </x:c>
      <x:c r="D562" s="50" t="n">
        <x:f>IF($B562&lt;='Scorecard'!$B$3-7,1,0)</x:f>
        <x:v>1</x:v>
      </x:c>
      <x:c r="E562" s="50" t="n">
        <x:f>IF(COUNTIFS(Events!$B$4:$B$1456,$A562,Events!$C$4:$C$1456,"coach_contact_completed",Events!$D$4:$D$1456,"&gt;="&amp;($B562+0),Events!$D$4:$D$1456,"&lt;="&amp;($B562+7))&gt;0,1,0)</x:f>
        <x:v>0</x:v>
      </x:c>
      <x:c r="F562" s="50" t="n">
        <x:f>IF($B562&lt;='Scorecard'!$B$3-37,1,0)</x:f>
        <x:v>1</x:v>
      </x:c>
      <x:c r="G562" s="50" t="n">
        <x:f>IF(COUNTIFS(Events!$B$4:$B$1456,$A562,Events!$C$4:$C$1456,"day30_checkin_completed",Events!$D$4:$D$1456,"&gt;="&amp;($B562+28),Events!$D$4:$D$1456,"&lt;="&amp;($B562+37))&gt;0,1,0)</x:f>
        <x:v>1</x:v>
      </x:c>
      <x:c r="H562" s="50" t="n">
        <x:f>IF($B562&lt;='Scorecard'!$B$3-74,1,0)</x:f>
        <x:v>1</x:v>
      </x:c>
      <x:c r="I562" s="50" t="n">
        <x:f>IF(COUNTIFS(Events!$B$4:$B$1456,$A562,Events!$C$4:$C$1456,"day60_activity_observed",Events!$D$4:$D$1456,"&gt;="&amp;($B562+60),Events!$D$4:$D$1456,"&lt;="&amp;($B562+74))&gt;0,1,0)</x:f>
        <x:v>1</x:v>
      </x:c>
    </x:row>
    <x:row r="563">
      <x:c r="A563" s="50" t="str">
        <x:f>Members!A563</x:f>
        <x:v>SYN0560</x:v>
      </x:c>
      <x:c r="B563" s="51" t="n">
        <x:f>Members!B563</x:f>
        <x:v>46078</x:v>
      </x:c>
      <x:c r="C563" s="50" t="str">
        <x:f>Members!C563</x:f>
        <x:v>Employer</x:v>
      </x:c>
      <x:c r="D563" s="50" t="n">
        <x:f>IF($B563&lt;='Scorecard'!$B$3-7,1,0)</x:f>
        <x:v>1</x:v>
      </x:c>
      <x:c r="E563" s="50" t="n">
        <x:f>IF(COUNTIFS(Events!$B$4:$B$1456,$A563,Events!$C$4:$C$1456,"coach_contact_completed",Events!$D$4:$D$1456,"&gt;="&amp;($B563+0),Events!$D$4:$D$1456,"&lt;="&amp;($B563+7))&gt;0,1,0)</x:f>
        <x:v>0</x:v>
      </x:c>
      <x:c r="F563" s="50" t="n">
        <x:f>IF($B563&lt;='Scorecard'!$B$3-37,1,0)</x:f>
        <x:v>1</x:v>
      </x:c>
      <x:c r="G563" s="50" t="n">
        <x:f>IF(COUNTIFS(Events!$B$4:$B$1456,$A563,Events!$C$4:$C$1456,"day30_checkin_completed",Events!$D$4:$D$1456,"&gt;="&amp;($B563+28),Events!$D$4:$D$1456,"&lt;="&amp;($B563+37))&gt;0,1,0)</x:f>
        <x:v>1</x:v>
      </x:c>
      <x:c r="H563" s="50" t="n">
        <x:f>IF($B563&lt;='Scorecard'!$B$3-74,1,0)</x:f>
        <x:v>1</x:v>
      </x:c>
      <x:c r="I563" s="50" t="n">
        <x:f>IF(COUNTIFS(Events!$B$4:$B$1456,$A563,Events!$C$4:$C$1456,"day60_activity_observed",Events!$D$4:$D$1456,"&gt;="&amp;($B563+60),Events!$D$4:$D$1456,"&lt;="&amp;($B563+74))&gt;0,1,0)</x:f>
        <x:v>1</x:v>
      </x:c>
    </x:row>
    <x:row r="564">
      <x:c r="A564" s="50" t="str">
        <x:f>Members!A564</x:f>
        <x:v>SYN0561</x:v>
      </x:c>
      <x:c r="B564" s="51" t="n">
        <x:f>Members!B564</x:f>
        <x:v>46227</x:v>
      </x:c>
      <x:c r="C564" s="50" t="str">
        <x:f>Members!C564</x:f>
        <x:v>Direct</x:v>
      </x:c>
      <x:c r="D564" s="50" t="n">
        <x:f>IF($B564&lt;='Scorecard'!$B$3-7,1,0)</x:f>
        <x:v>1</x:v>
      </x:c>
      <x:c r="E564" s="50" t="n">
        <x:f>IF(COUNTIFS(Events!$B$4:$B$1456,$A564,Events!$C$4:$C$1456,"coach_contact_completed",Events!$D$4:$D$1456,"&gt;="&amp;($B564+0),Events!$D$4:$D$1456,"&lt;="&amp;($B564+7))&gt;0,1,0)</x:f>
        <x:v>1</x:v>
      </x:c>
      <x:c r="F564" s="50" t="n">
        <x:f>IF($B564&lt;='Scorecard'!$B$3-37,1,0)</x:f>
        <x:v>1</x:v>
      </x:c>
      <x:c r="G564" s="50" t="n">
        <x:f>IF(COUNTIFS(Events!$B$4:$B$1456,$A564,Events!$C$4:$C$1456,"day30_checkin_completed",Events!$D$4:$D$1456,"&gt;="&amp;($B564+28),Events!$D$4:$D$1456,"&lt;="&amp;($B564+37))&gt;0,1,0)</x:f>
        <x:v>0</x:v>
      </x:c>
      <x:c r="H564" s="50" t="n">
        <x:f>IF($B564&lt;='Scorecard'!$B$3-74,1,0)</x:f>
        <x:v>0</x:v>
      </x:c>
      <x:c r="I564" s="50" t="n">
        <x:f>IF(COUNTIFS(Events!$B$4:$B$1456,$A564,Events!$C$4:$C$1456,"day60_activity_observed",Events!$D$4:$D$1456,"&gt;="&amp;($B564+60),Events!$D$4:$D$1456,"&lt;="&amp;($B564+74))&gt;0,1,0)</x:f>
        <x:v>1</x:v>
      </x:c>
    </x:row>
    <x:row r="565">
      <x:c r="A565" s="50" t="str">
        <x:f>Members!A565</x:f>
        <x:v>SYN0562</x:v>
      </x:c>
      <x:c r="B565" s="51" t="n">
        <x:f>Members!B565</x:f>
        <x:v>46102</x:v>
      </x:c>
      <x:c r="C565" s="50" t="str">
        <x:f>Members!C565</x:f>
        <x:v>Employer</x:v>
      </x:c>
      <x:c r="D565" s="50" t="n">
        <x:f>IF($B565&lt;='Scorecard'!$B$3-7,1,0)</x:f>
        <x:v>1</x:v>
      </x:c>
      <x:c r="E565" s="50" t="n">
        <x:f>IF(COUNTIFS(Events!$B$4:$B$1456,$A565,Events!$C$4:$C$1456,"coach_contact_completed",Events!$D$4:$D$1456,"&gt;="&amp;($B565+0),Events!$D$4:$D$1456,"&lt;="&amp;($B565+7))&gt;0,1,0)</x:f>
        <x:v>0</x:v>
      </x:c>
      <x:c r="F565" s="50" t="n">
        <x:f>IF($B565&lt;='Scorecard'!$B$3-37,1,0)</x:f>
        <x:v>1</x:v>
      </x:c>
      <x:c r="G565" s="50" t="n">
        <x:f>IF(COUNTIFS(Events!$B$4:$B$1456,$A565,Events!$C$4:$C$1456,"day30_checkin_completed",Events!$D$4:$D$1456,"&gt;="&amp;($B565+28),Events!$D$4:$D$1456,"&lt;="&amp;($B565+37))&gt;0,1,0)</x:f>
        <x:v>1</x:v>
      </x:c>
      <x:c r="H565" s="50" t="n">
        <x:f>IF($B565&lt;='Scorecard'!$B$3-74,1,0)</x:f>
        <x:v>1</x:v>
      </x:c>
      <x:c r="I565" s="50" t="n">
        <x:f>IF(COUNTIFS(Events!$B$4:$B$1456,$A565,Events!$C$4:$C$1456,"day60_activity_observed",Events!$D$4:$D$1456,"&gt;="&amp;($B565+60),Events!$D$4:$D$1456,"&lt;="&amp;($B565+74))&gt;0,1,0)</x:f>
        <x:v>1</x:v>
      </x:c>
    </x:row>
    <x:row r="566">
      <x:c r="A566" s="50" t="str">
        <x:f>Members!A566</x:f>
        <x:v>SYN0563</x:v>
      </x:c>
      <x:c r="B566" s="51" t="n">
        <x:f>Members!B566</x:f>
        <x:v>46112</x:v>
      </x:c>
      <x:c r="C566" s="50" t="str">
        <x:f>Members!C566</x:f>
        <x:v>Direct</x:v>
      </x:c>
      <x:c r="D566" s="50" t="n">
        <x:f>IF($B566&lt;='Scorecard'!$B$3-7,1,0)</x:f>
        <x:v>1</x:v>
      </x:c>
      <x:c r="E566" s="50" t="n">
        <x:f>IF(COUNTIFS(Events!$B$4:$B$1456,$A566,Events!$C$4:$C$1456,"coach_contact_completed",Events!$D$4:$D$1456,"&gt;="&amp;($B566+0),Events!$D$4:$D$1456,"&lt;="&amp;($B566+7))&gt;0,1,0)</x:f>
        <x:v>0</x:v>
      </x:c>
      <x:c r="F566" s="50" t="n">
        <x:f>IF($B566&lt;='Scorecard'!$B$3-37,1,0)</x:f>
        <x:v>1</x:v>
      </x:c>
      <x:c r="G566" s="50" t="n">
        <x:f>IF(COUNTIFS(Events!$B$4:$B$1456,$A566,Events!$C$4:$C$1456,"day30_checkin_completed",Events!$D$4:$D$1456,"&gt;="&amp;($B566+28),Events!$D$4:$D$1456,"&lt;="&amp;($B566+37))&gt;0,1,0)</x:f>
        <x:v>0</x:v>
      </x:c>
      <x:c r="H566" s="50" t="n">
        <x:f>IF($B566&lt;='Scorecard'!$B$3-74,1,0)</x:f>
        <x:v>1</x:v>
      </x:c>
      <x:c r="I566" s="50" t="n">
        <x:f>IF(COUNTIFS(Events!$B$4:$B$1456,$A566,Events!$C$4:$C$1456,"day60_activity_observed",Events!$D$4:$D$1456,"&gt;="&amp;($B566+60),Events!$D$4:$D$1456,"&lt;="&amp;($B566+74))&gt;0,1,0)</x:f>
        <x:v>1</x:v>
      </x:c>
    </x:row>
    <x:row r="567">
      <x:c r="A567" s="50" t="str">
        <x:f>Members!A567</x:f>
        <x:v>SYN0564</x:v>
      </x:c>
      <x:c r="B567" s="51" t="n">
        <x:f>Members!B567</x:f>
        <x:v>46233</x:v>
      </x:c>
      <x:c r="C567" s="50" t="str">
        <x:f>Members!C567</x:f>
        <x:v>Employer</x:v>
      </x:c>
      <x:c r="D567" s="50" t="n">
        <x:f>IF($B567&lt;='Scorecard'!$B$3-7,1,0)</x:f>
        <x:v>1</x:v>
      </x:c>
      <x:c r="E567" s="50" t="n">
        <x:f>IF(COUNTIFS(Events!$B$4:$B$1456,$A567,Events!$C$4:$C$1456,"coach_contact_completed",Events!$D$4:$D$1456,"&gt;="&amp;($B567+0),Events!$D$4:$D$1456,"&lt;="&amp;($B567+7))&gt;0,1,0)</x:f>
        <x:v>1</x:v>
      </x:c>
      <x:c r="F567" s="50" t="n">
        <x:f>IF($B567&lt;='Scorecard'!$B$3-37,1,0)</x:f>
        <x:v>1</x:v>
      </x:c>
      <x:c r="G567" s="50" t="n">
        <x:f>IF(COUNTIFS(Events!$B$4:$B$1456,$A567,Events!$C$4:$C$1456,"day30_checkin_completed",Events!$D$4:$D$1456,"&gt;="&amp;($B567+28),Events!$D$4:$D$1456,"&lt;="&amp;($B567+37))&gt;0,1,0)</x:f>
        <x:v>1</x:v>
      </x:c>
      <x:c r="H567" s="50" t="n">
        <x:f>IF($B567&lt;='Scorecard'!$B$3-74,1,0)</x:f>
        <x:v>0</x:v>
      </x:c>
      <x:c r="I567" s="50" t="n">
        <x:f>IF(COUNTIFS(Events!$B$4:$B$1456,$A567,Events!$C$4:$C$1456,"day60_activity_observed",Events!$D$4:$D$1456,"&gt;="&amp;($B567+60),Events!$D$4:$D$1456,"&lt;="&amp;($B567+74))&gt;0,1,0)</x:f>
        <x:v>1</x:v>
      </x:c>
    </x:row>
    <x:row r="568">
      <x:c r="A568" s="50" t="str">
        <x:f>Members!A568</x:f>
        <x:v>SYN0565</x:v>
      </x:c>
      <x:c r="B568" s="51" t="n">
        <x:f>Members!B568</x:f>
        <x:v>46165</x:v>
      </x:c>
      <x:c r="C568" s="50" t="str">
        <x:f>Members!C568</x:f>
        <x:v>Direct</x:v>
      </x:c>
      <x:c r="D568" s="50" t="n">
        <x:f>IF($B568&lt;='Scorecard'!$B$3-7,1,0)</x:f>
        <x:v>1</x:v>
      </x:c>
      <x:c r="E568" s="50" t="n">
        <x:f>IF(COUNTIFS(Events!$B$4:$B$1456,$A568,Events!$C$4:$C$1456,"coach_contact_completed",Events!$D$4:$D$1456,"&gt;="&amp;($B568+0),Events!$D$4:$D$1456,"&lt;="&amp;($B568+7))&gt;0,1,0)</x:f>
        <x:v>0</x:v>
      </x:c>
      <x:c r="F568" s="50" t="n">
        <x:f>IF($B568&lt;='Scorecard'!$B$3-37,1,0)</x:f>
        <x:v>1</x:v>
      </x:c>
      <x:c r="G568" s="50" t="n">
        <x:f>IF(COUNTIFS(Events!$B$4:$B$1456,$A568,Events!$C$4:$C$1456,"day30_checkin_completed",Events!$D$4:$D$1456,"&gt;="&amp;($B568+28),Events!$D$4:$D$1456,"&lt;="&amp;($B568+37))&gt;0,1,0)</x:f>
        <x:v>0</x:v>
      </x:c>
      <x:c r="H568" s="50" t="n">
        <x:f>IF($B568&lt;='Scorecard'!$B$3-74,1,0)</x:f>
        <x:v>1</x:v>
      </x:c>
      <x:c r="I568" s="50" t="n">
        <x:f>IF(COUNTIFS(Events!$B$4:$B$1456,$A568,Events!$C$4:$C$1456,"day60_activity_observed",Events!$D$4:$D$1456,"&gt;="&amp;($B568+60),Events!$D$4:$D$1456,"&lt;="&amp;($B568+74))&gt;0,1,0)</x:f>
        <x:v>0</x:v>
      </x:c>
    </x:row>
    <x:row r="569">
      <x:c r="A569" s="50" t="str">
        <x:f>Members!A569</x:f>
        <x:v>SYN0566</x:v>
      </x:c>
      <x:c r="B569" s="51" t="n">
        <x:f>Members!B569</x:f>
        <x:v>46139</x:v>
      </x:c>
      <x:c r="C569" s="50" t="str">
        <x:f>Members!C569</x:f>
        <x:v>Employer</x:v>
      </x:c>
      <x:c r="D569" s="50" t="n">
        <x:f>IF($B569&lt;='Scorecard'!$B$3-7,1,0)</x:f>
        <x:v>1</x:v>
      </x:c>
      <x:c r="E569" s="50" t="n">
        <x:f>IF(COUNTIFS(Events!$B$4:$B$1456,$A569,Events!$C$4:$C$1456,"coach_contact_completed",Events!$D$4:$D$1456,"&gt;="&amp;($B569+0),Events!$D$4:$D$1456,"&lt;="&amp;($B569+7))&gt;0,1,0)</x:f>
        <x:v>1</x:v>
      </x:c>
      <x:c r="F569" s="50" t="n">
        <x:f>IF($B569&lt;='Scorecard'!$B$3-37,1,0)</x:f>
        <x:v>1</x:v>
      </x:c>
      <x:c r="G569" s="50" t="n">
        <x:f>IF(COUNTIFS(Events!$B$4:$B$1456,$A569,Events!$C$4:$C$1456,"day30_checkin_completed",Events!$D$4:$D$1456,"&gt;="&amp;($B569+28),Events!$D$4:$D$1456,"&lt;="&amp;($B569+37))&gt;0,1,0)</x:f>
        <x:v>1</x:v>
      </x:c>
      <x:c r="H569" s="50" t="n">
        <x:f>IF($B569&lt;='Scorecard'!$B$3-74,1,0)</x:f>
        <x:v>1</x:v>
      </x:c>
      <x:c r="I569" s="50" t="n">
        <x:f>IF(COUNTIFS(Events!$B$4:$B$1456,$A569,Events!$C$4:$C$1456,"day60_activity_observed",Events!$D$4:$D$1456,"&gt;="&amp;($B569+60),Events!$D$4:$D$1456,"&lt;="&amp;($B569+74))&gt;0,1,0)</x:f>
        <x:v>0</x:v>
      </x:c>
    </x:row>
    <x:row r="570">
      <x:c r="A570" s="50" t="str">
        <x:f>Members!A570</x:f>
        <x:v>SYN0567</x:v>
      </x:c>
      <x:c r="B570" s="51" t="n">
        <x:f>Members!B570</x:f>
        <x:v>46237</x:v>
      </x:c>
      <x:c r="C570" s="50" t="str">
        <x:f>Members!C570</x:f>
        <x:v>Employer</x:v>
      </x:c>
      <x:c r="D570" s="50" t="n">
        <x:f>IF($B570&lt;='Scorecard'!$B$3-7,1,0)</x:f>
        <x:v>1</x:v>
      </x:c>
      <x:c r="E570" s="50" t="n">
        <x:f>IF(COUNTIFS(Events!$B$4:$B$1456,$A570,Events!$C$4:$C$1456,"coach_contact_completed",Events!$D$4:$D$1456,"&gt;="&amp;($B570+0),Events!$D$4:$D$1456,"&lt;="&amp;($B570+7))&gt;0,1,0)</x:f>
        <x:v>0</x:v>
      </x:c>
      <x:c r="F570" s="50" t="n">
        <x:f>IF($B570&lt;='Scorecard'!$B$3-37,1,0)</x:f>
        <x:v>1</x:v>
      </x:c>
      <x:c r="G570" s="50" t="n">
        <x:f>IF(COUNTIFS(Events!$B$4:$B$1456,$A570,Events!$C$4:$C$1456,"day30_checkin_completed",Events!$D$4:$D$1456,"&gt;="&amp;($B570+28),Events!$D$4:$D$1456,"&lt;="&amp;($B570+37))&gt;0,1,0)</x:f>
        <x:v>0</x:v>
      </x:c>
      <x:c r="H570" s="50" t="n">
        <x:f>IF($B570&lt;='Scorecard'!$B$3-74,1,0)</x:f>
        <x:v>0</x:v>
      </x:c>
      <x:c r="I570" s="50" t="n">
        <x:f>IF(COUNTIFS(Events!$B$4:$B$1456,$A570,Events!$C$4:$C$1456,"day60_activity_observed",Events!$D$4:$D$1456,"&gt;="&amp;($B570+60),Events!$D$4:$D$1456,"&lt;="&amp;($B570+74))&gt;0,1,0)</x:f>
        <x:v>0</x:v>
      </x:c>
    </x:row>
    <x:row r="571">
      <x:c r="A571" s="50" t="str">
        <x:f>Members!A571</x:f>
        <x:v>SYN0568</x:v>
      </x:c>
      <x:c r="B571" s="51" t="n">
        <x:f>Members!B571</x:f>
        <x:v>46087</x:v>
      </x:c>
      <x:c r="C571" s="50" t="str">
        <x:f>Members!C571</x:f>
        <x:v>Employer</x:v>
      </x:c>
      <x:c r="D571" s="50" t="n">
        <x:f>IF($B571&lt;='Scorecard'!$B$3-7,1,0)</x:f>
        <x:v>1</x:v>
      </x:c>
      <x:c r="E571" s="50" t="n">
        <x:f>IF(COUNTIFS(Events!$B$4:$B$1456,$A571,Events!$C$4:$C$1456,"coach_contact_completed",Events!$D$4:$D$1456,"&gt;="&amp;($B571+0),Events!$D$4:$D$1456,"&lt;="&amp;($B571+7))&gt;0,1,0)</x:f>
        <x:v>1</x:v>
      </x:c>
      <x:c r="F571" s="50" t="n">
        <x:f>IF($B571&lt;='Scorecard'!$B$3-37,1,0)</x:f>
        <x:v>1</x:v>
      </x:c>
      <x:c r="G571" s="50" t="n">
        <x:f>IF(COUNTIFS(Events!$B$4:$B$1456,$A571,Events!$C$4:$C$1456,"day30_checkin_completed",Events!$D$4:$D$1456,"&gt;="&amp;($B571+28),Events!$D$4:$D$1456,"&lt;="&amp;($B571+37))&gt;0,1,0)</x:f>
        <x:v>1</x:v>
      </x:c>
      <x:c r="H571" s="50" t="n">
        <x:f>IF($B571&lt;='Scorecard'!$B$3-74,1,0)</x:f>
        <x:v>1</x:v>
      </x:c>
      <x:c r="I571" s="50" t="n">
        <x:f>IF(COUNTIFS(Events!$B$4:$B$1456,$A571,Events!$C$4:$C$1456,"day60_activity_observed",Events!$D$4:$D$1456,"&gt;="&amp;($B571+60),Events!$D$4:$D$1456,"&lt;="&amp;($B571+74))&gt;0,1,0)</x:f>
        <x:v>0</x:v>
      </x:c>
    </x:row>
    <x:row r="572">
      <x:c r="A572" s="50" t="str">
        <x:f>Members!A572</x:f>
        <x:v>SYN0569</x:v>
      </x:c>
      <x:c r="B572" s="51" t="n">
        <x:f>Members!B572</x:f>
        <x:v>46126</x:v>
      </x:c>
      <x:c r="C572" s="50" t="str">
        <x:f>Members!C572</x:f>
        <x:v>Direct</x:v>
      </x:c>
      <x:c r="D572" s="50" t="n">
        <x:f>IF($B572&lt;='Scorecard'!$B$3-7,1,0)</x:f>
        <x:v>1</x:v>
      </x:c>
      <x:c r="E572" s="50" t="n">
        <x:f>IF(COUNTIFS(Events!$B$4:$B$1456,$A572,Events!$C$4:$C$1456,"coach_contact_completed",Events!$D$4:$D$1456,"&gt;="&amp;($B572+0),Events!$D$4:$D$1456,"&lt;="&amp;($B572+7))&gt;0,1,0)</x:f>
        <x:v>0</x:v>
      </x:c>
      <x:c r="F572" s="50" t="n">
        <x:f>IF($B572&lt;='Scorecard'!$B$3-37,1,0)</x:f>
        <x:v>1</x:v>
      </x:c>
      <x:c r="G572" s="50" t="n">
        <x:f>IF(COUNTIFS(Events!$B$4:$B$1456,$A572,Events!$C$4:$C$1456,"day30_checkin_completed",Events!$D$4:$D$1456,"&gt;="&amp;($B572+28),Events!$D$4:$D$1456,"&lt;="&amp;($B572+37))&gt;0,1,0)</x:f>
        <x:v>0</x:v>
      </x:c>
      <x:c r="H572" s="50" t="n">
        <x:f>IF($B572&lt;='Scorecard'!$B$3-74,1,0)</x:f>
        <x:v>1</x:v>
      </x:c>
      <x:c r="I572" s="50" t="n">
        <x:f>IF(COUNTIFS(Events!$B$4:$B$1456,$A572,Events!$C$4:$C$1456,"day60_activity_observed",Events!$D$4:$D$1456,"&gt;="&amp;($B572+60),Events!$D$4:$D$1456,"&lt;="&amp;($B572+74))&gt;0,1,0)</x:f>
        <x:v>1</x:v>
      </x:c>
    </x:row>
    <x:row r="573">
      <x:c r="A573" s="50" t="str">
        <x:f>Members!A573</x:f>
        <x:v>SYN0570</x:v>
      </x:c>
      <x:c r="B573" s="51" t="n">
        <x:f>Members!B573</x:f>
        <x:v>46219</x:v>
      </x:c>
      <x:c r="C573" s="50" t="str">
        <x:f>Members!C573</x:f>
        <x:v>Direct</x:v>
      </x:c>
      <x:c r="D573" s="50" t="n">
        <x:f>IF($B573&lt;='Scorecard'!$B$3-7,1,0)</x:f>
        <x:v>1</x:v>
      </x:c>
      <x:c r="E573" s="50" t="n">
        <x:f>IF(COUNTIFS(Events!$B$4:$B$1456,$A573,Events!$C$4:$C$1456,"coach_contact_completed",Events!$D$4:$D$1456,"&gt;="&amp;($B573+0),Events!$D$4:$D$1456,"&lt;="&amp;($B573+7))&gt;0,1,0)</x:f>
        <x:v>1</x:v>
      </x:c>
      <x:c r="F573" s="50" t="n">
        <x:f>IF($B573&lt;='Scorecard'!$B$3-37,1,0)</x:f>
        <x:v>1</x:v>
      </x:c>
      <x:c r="G573" s="50" t="n">
        <x:f>IF(COUNTIFS(Events!$B$4:$B$1456,$A573,Events!$C$4:$C$1456,"day30_checkin_completed",Events!$D$4:$D$1456,"&gt;="&amp;($B573+28),Events!$D$4:$D$1456,"&lt;="&amp;($B573+37))&gt;0,1,0)</x:f>
        <x:v>1</x:v>
      </x:c>
      <x:c r="H573" s="50" t="n">
        <x:f>IF($B573&lt;='Scorecard'!$B$3-74,1,0)</x:f>
        <x:v>1</x:v>
      </x:c>
      <x:c r="I573" s="50" t="n">
        <x:f>IF(COUNTIFS(Events!$B$4:$B$1456,$A573,Events!$C$4:$C$1456,"day60_activity_observed",Events!$D$4:$D$1456,"&gt;="&amp;($B573+60),Events!$D$4:$D$1456,"&lt;="&amp;($B573+74))&gt;0,1,0)</x:f>
        <x:v>0</x:v>
      </x:c>
    </x:row>
    <x:row r="574">
      <x:c r="A574" s="50" t="str">
        <x:f>Members!A574</x:f>
        <x:v>SYN0571</x:v>
      </x:c>
      <x:c r="B574" s="51" t="n">
        <x:f>Members!B574</x:f>
        <x:v>46085</x:v>
      </x:c>
      <x:c r="C574" s="50" t="str">
        <x:f>Members!C574</x:f>
        <x:v>Direct</x:v>
      </x:c>
      <x:c r="D574" s="50" t="n">
        <x:f>IF($B574&lt;='Scorecard'!$B$3-7,1,0)</x:f>
        <x:v>1</x:v>
      </x:c>
      <x:c r="E574" s="50" t="n">
        <x:f>IF(COUNTIFS(Events!$B$4:$B$1456,$A574,Events!$C$4:$C$1456,"coach_contact_completed",Events!$D$4:$D$1456,"&gt;="&amp;($B574+0),Events!$D$4:$D$1456,"&lt;="&amp;($B574+7))&gt;0,1,0)</x:f>
        <x:v>1</x:v>
      </x:c>
      <x:c r="F574" s="50" t="n">
        <x:f>IF($B574&lt;='Scorecard'!$B$3-37,1,0)</x:f>
        <x:v>1</x:v>
      </x:c>
      <x:c r="G574" s="50" t="n">
        <x:f>IF(COUNTIFS(Events!$B$4:$B$1456,$A574,Events!$C$4:$C$1456,"day30_checkin_completed",Events!$D$4:$D$1456,"&gt;="&amp;($B574+28),Events!$D$4:$D$1456,"&lt;="&amp;($B574+37))&gt;0,1,0)</x:f>
        <x:v>1</x:v>
      </x:c>
      <x:c r="H574" s="50" t="n">
        <x:f>IF($B574&lt;='Scorecard'!$B$3-74,1,0)</x:f>
        <x:v>1</x:v>
      </x:c>
      <x:c r="I574" s="50" t="n">
        <x:f>IF(COUNTIFS(Events!$B$4:$B$1456,$A574,Events!$C$4:$C$1456,"day60_activity_observed",Events!$D$4:$D$1456,"&gt;="&amp;($B574+60),Events!$D$4:$D$1456,"&lt;="&amp;($B574+74))&gt;0,1,0)</x:f>
        <x:v>1</x:v>
      </x:c>
    </x:row>
    <x:row r="575">
      <x:c r="A575" s="50" t="str">
        <x:f>Members!A575</x:f>
        <x:v>SYN0572</x:v>
      </x:c>
      <x:c r="B575" s="51" t="n">
        <x:f>Members!B575</x:f>
        <x:v>46025</x:v>
      </x:c>
      <x:c r="C575" s="50" t="str">
        <x:f>Members!C575</x:f>
        <x:v>Direct</x:v>
      </x:c>
      <x:c r="D575" s="50" t="n">
        <x:f>IF($B575&lt;='Scorecard'!$B$3-7,1,0)</x:f>
        <x:v>1</x:v>
      </x:c>
      <x:c r="E575" s="50" t="n">
        <x:f>IF(COUNTIFS(Events!$B$4:$B$1456,$A575,Events!$C$4:$C$1456,"coach_contact_completed",Events!$D$4:$D$1456,"&gt;="&amp;($B575+0),Events!$D$4:$D$1456,"&lt;="&amp;($B575+7))&gt;0,1,0)</x:f>
        <x:v>0</x:v>
      </x:c>
      <x:c r="F575" s="50" t="n">
        <x:f>IF($B575&lt;='Scorecard'!$B$3-37,1,0)</x:f>
        <x:v>1</x:v>
      </x:c>
      <x:c r="G575" s="50" t="n">
        <x:f>IF(COUNTIFS(Events!$B$4:$B$1456,$A575,Events!$C$4:$C$1456,"day30_checkin_completed",Events!$D$4:$D$1456,"&gt;="&amp;($B575+28),Events!$D$4:$D$1456,"&lt;="&amp;($B575+37))&gt;0,1,0)</x:f>
        <x:v>1</x:v>
      </x:c>
      <x:c r="H575" s="50" t="n">
        <x:f>IF($B575&lt;='Scorecard'!$B$3-74,1,0)</x:f>
        <x:v>1</x:v>
      </x:c>
      <x:c r="I575" s="50" t="n">
        <x:f>IF(COUNTIFS(Events!$B$4:$B$1456,$A575,Events!$C$4:$C$1456,"day60_activity_observed",Events!$D$4:$D$1456,"&gt;="&amp;($B575+60),Events!$D$4:$D$1456,"&lt;="&amp;($B575+74))&gt;0,1,0)</x:f>
        <x:v>1</x:v>
      </x:c>
    </x:row>
    <x:row r="576">
      <x:c r="A576" s="50" t="str">
        <x:f>Members!A576</x:f>
        <x:v>SYN0573</x:v>
      </x:c>
      <x:c r="B576" s="51" t="n">
        <x:f>Members!B576</x:f>
        <x:v>46043</x:v>
      </x:c>
      <x:c r="C576" s="50" t="str">
        <x:f>Members!C576</x:f>
        <x:v>Employer</x:v>
      </x:c>
      <x:c r="D576" s="50" t="n">
        <x:f>IF($B576&lt;='Scorecard'!$B$3-7,1,0)</x:f>
        <x:v>1</x:v>
      </x:c>
      <x:c r="E576" s="50" t="n">
        <x:f>IF(COUNTIFS(Events!$B$4:$B$1456,$A576,Events!$C$4:$C$1456,"coach_contact_completed",Events!$D$4:$D$1456,"&gt;="&amp;($B576+0),Events!$D$4:$D$1456,"&lt;="&amp;($B576+7))&gt;0,1,0)</x:f>
        <x:v>1</x:v>
      </x:c>
      <x:c r="F576" s="50" t="n">
        <x:f>IF($B576&lt;='Scorecard'!$B$3-37,1,0)</x:f>
        <x:v>1</x:v>
      </x:c>
      <x:c r="G576" s="50" t="n">
        <x:f>IF(COUNTIFS(Events!$B$4:$B$1456,$A576,Events!$C$4:$C$1456,"day30_checkin_completed",Events!$D$4:$D$1456,"&gt;="&amp;($B576+28),Events!$D$4:$D$1456,"&lt;="&amp;($B576+37))&gt;0,1,0)</x:f>
        <x:v>1</x:v>
      </x:c>
      <x:c r="H576" s="50" t="n">
        <x:f>IF($B576&lt;='Scorecard'!$B$3-74,1,0)</x:f>
        <x:v>1</x:v>
      </x:c>
      <x:c r="I576" s="50" t="n">
        <x:f>IF(COUNTIFS(Events!$B$4:$B$1456,$A576,Events!$C$4:$C$1456,"day60_activity_observed",Events!$D$4:$D$1456,"&gt;="&amp;($B576+60),Events!$D$4:$D$1456,"&lt;="&amp;($B576+74))&gt;0,1,0)</x:f>
        <x:v>1</x:v>
      </x:c>
    </x:row>
    <x:row r="577">
      <x:c r="A577" s="50" t="str">
        <x:f>Members!A577</x:f>
        <x:v>SYN0574</x:v>
      </x:c>
      <x:c r="B577" s="51" t="n">
        <x:f>Members!B577</x:f>
        <x:v>46226</x:v>
      </x:c>
      <x:c r="C577" s="50" t="str">
        <x:f>Members!C577</x:f>
        <x:v>Direct</x:v>
      </x:c>
      <x:c r="D577" s="50" t="n">
        <x:f>IF($B577&lt;='Scorecard'!$B$3-7,1,0)</x:f>
        <x:v>1</x:v>
      </x:c>
      <x:c r="E577" s="50" t="n">
        <x:f>IF(COUNTIFS(Events!$B$4:$B$1456,$A577,Events!$C$4:$C$1456,"coach_contact_completed",Events!$D$4:$D$1456,"&gt;="&amp;($B577+0),Events!$D$4:$D$1456,"&lt;="&amp;($B577+7))&gt;0,1,0)</x:f>
        <x:v>1</x:v>
      </x:c>
      <x:c r="F577" s="50" t="n">
        <x:f>IF($B577&lt;='Scorecard'!$B$3-37,1,0)</x:f>
        <x:v>1</x:v>
      </x:c>
      <x:c r="G577" s="50" t="n">
        <x:f>IF(COUNTIFS(Events!$B$4:$B$1456,$A577,Events!$C$4:$C$1456,"day30_checkin_completed",Events!$D$4:$D$1456,"&gt;="&amp;($B577+28),Events!$D$4:$D$1456,"&lt;="&amp;($B577+37))&gt;0,1,0)</x:f>
        <x:v>1</x:v>
      </x:c>
      <x:c r="H577" s="50" t="n">
        <x:f>IF($B577&lt;='Scorecard'!$B$3-74,1,0)</x:f>
        <x:v>0</x:v>
      </x:c>
      <x:c r="I577" s="50" t="n">
        <x:f>IF(COUNTIFS(Events!$B$4:$B$1456,$A577,Events!$C$4:$C$1456,"day60_activity_observed",Events!$D$4:$D$1456,"&gt;="&amp;($B577+60),Events!$D$4:$D$1456,"&lt;="&amp;($B577+74))&gt;0,1,0)</x:f>
        <x:v>1</x:v>
      </x:c>
    </x:row>
    <x:row r="578">
      <x:c r="A578" s="50" t="str">
        <x:f>Members!A578</x:f>
        <x:v>SYN0575</x:v>
      </x:c>
      <x:c r="B578" s="51" t="n">
        <x:f>Members!B578</x:f>
        <x:v>46176</x:v>
      </x:c>
      <x:c r="C578" s="50" t="str">
        <x:f>Members!C578</x:f>
        <x:v>Direct</x:v>
      </x:c>
      <x:c r="D578" s="50" t="n">
        <x:f>IF($B578&lt;='Scorecard'!$B$3-7,1,0)</x:f>
        <x:v>1</x:v>
      </x:c>
      <x:c r="E578" s="50" t="n">
        <x:f>IF(COUNTIFS(Events!$B$4:$B$1456,$A578,Events!$C$4:$C$1456,"coach_contact_completed",Events!$D$4:$D$1456,"&gt;="&amp;($B578+0),Events!$D$4:$D$1456,"&lt;="&amp;($B578+7))&gt;0,1,0)</x:f>
        <x:v>1</x:v>
      </x:c>
      <x:c r="F578" s="50" t="n">
        <x:f>IF($B578&lt;='Scorecard'!$B$3-37,1,0)</x:f>
        <x:v>1</x:v>
      </x:c>
      <x:c r="G578" s="50" t="n">
        <x:f>IF(COUNTIFS(Events!$B$4:$B$1456,$A578,Events!$C$4:$C$1456,"day30_checkin_completed",Events!$D$4:$D$1456,"&gt;="&amp;($B578+28),Events!$D$4:$D$1456,"&lt;="&amp;($B578+37))&gt;0,1,0)</x:f>
        <x:v>0</x:v>
      </x:c>
      <x:c r="H578" s="50" t="n">
        <x:f>IF($B578&lt;='Scorecard'!$B$3-74,1,0)</x:f>
        <x:v>1</x:v>
      </x:c>
      <x:c r="I578" s="50" t="n">
        <x:f>IF(COUNTIFS(Events!$B$4:$B$1456,$A578,Events!$C$4:$C$1456,"day60_activity_observed",Events!$D$4:$D$1456,"&gt;="&amp;($B578+60),Events!$D$4:$D$1456,"&lt;="&amp;($B578+74))&gt;0,1,0)</x:f>
        <x:v>1</x:v>
      </x:c>
    </x:row>
    <x:row r="579">
      <x:c r="A579" s="50" t="str">
        <x:f>Members!A579</x:f>
        <x:v>SYN0576</x:v>
      </x:c>
      <x:c r="B579" s="51" t="n">
        <x:f>Members!B579</x:f>
        <x:v>46244</x:v>
      </x:c>
      <x:c r="C579" s="50" t="str">
        <x:f>Members!C579</x:f>
        <x:v>Direct</x:v>
      </x:c>
      <x:c r="D579" s="50" t="n">
        <x:f>IF($B579&lt;='Scorecard'!$B$3-7,1,0)</x:f>
        <x:v>1</x:v>
      </x:c>
      <x:c r="E579" s="50" t="n">
        <x:f>IF(COUNTIFS(Events!$B$4:$B$1456,$A579,Events!$C$4:$C$1456,"coach_contact_completed",Events!$D$4:$D$1456,"&gt;="&amp;($B579+0),Events!$D$4:$D$1456,"&lt;="&amp;($B579+7))&gt;0,1,0)</x:f>
        <x:v>1</x:v>
      </x:c>
      <x:c r="F579" s="50" t="n">
        <x:f>IF($B579&lt;='Scorecard'!$B$3-37,1,0)</x:f>
        <x:v>1</x:v>
      </x:c>
      <x:c r="G579" s="50" t="n">
        <x:f>IF(COUNTIFS(Events!$B$4:$B$1456,$A579,Events!$C$4:$C$1456,"day30_checkin_completed",Events!$D$4:$D$1456,"&gt;="&amp;($B579+28),Events!$D$4:$D$1456,"&lt;="&amp;($B579+37))&gt;0,1,0)</x:f>
        <x:v>0</x:v>
      </x:c>
      <x:c r="H579" s="50" t="n">
        <x:f>IF($B579&lt;='Scorecard'!$B$3-74,1,0)</x:f>
        <x:v>0</x:v>
      </x:c>
      <x:c r="I579" s="50" t="n">
        <x:f>IF(COUNTIFS(Events!$B$4:$B$1456,$A579,Events!$C$4:$C$1456,"day60_activity_observed",Events!$D$4:$D$1456,"&gt;="&amp;($B579+60),Events!$D$4:$D$1456,"&lt;="&amp;($B579+74))&gt;0,1,0)</x:f>
        <x:v>0</x:v>
      </x:c>
    </x:row>
    <x:row r="580">
      <x:c r="A580" s="50" t="str">
        <x:f>Members!A580</x:f>
        <x:v>SYN0577</x:v>
      </x:c>
      <x:c r="B580" s="51" t="n">
        <x:f>Members!B580</x:f>
        <x:v>46062</x:v>
      </x:c>
      <x:c r="C580" s="50" t="str">
        <x:f>Members!C580</x:f>
        <x:v>Direct</x:v>
      </x:c>
      <x:c r="D580" s="50" t="n">
        <x:f>IF($B580&lt;='Scorecard'!$B$3-7,1,0)</x:f>
        <x:v>1</x:v>
      </x:c>
      <x:c r="E580" s="50" t="n">
        <x:f>IF(COUNTIFS(Events!$B$4:$B$1456,$A580,Events!$C$4:$C$1456,"coach_contact_completed",Events!$D$4:$D$1456,"&gt;="&amp;($B580+0),Events!$D$4:$D$1456,"&lt;="&amp;($B580+7))&gt;0,1,0)</x:f>
        <x:v>1</x:v>
      </x:c>
      <x:c r="F580" s="50" t="n">
        <x:f>IF($B580&lt;='Scorecard'!$B$3-37,1,0)</x:f>
        <x:v>1</x:v>
      </x:c>
      <x:c r="G580" s="50" t="n">
        <x:f>IF(COUNTIFS(Events!$B$4:$B$1456,$A580,Events!$C$4:$C$1456,"day30_checkin_completed",Events!$D$4:$D$1456,"&gt;="&amp;($B580+28),Events!$D$4:$D$1456,"&lt;="&amp;($B580+37))&gt;0,1,0)</x:f>
        <x:v>1</x:v>
      </x:c>
      <x:c r="H580" s="50" t="n">
        <x:f>IF($B580&lt;='Scorecard'!$B$3-74,1,0)</x:f>
        <x:v>1</x:v>
      </x:c>
      <x:c r="I580" s="50" t="n">
        <x:f>IF(COUNTIFS(Events!$B$4:$B$1456,$A580,Events!$C$4:$C$1456,"day60_activity_observed",Events!$D$4:$D$1456,"&gt;="&amp;($B580+60),Events!$D$4:$D$1456,"&lt;="&amp;($B580+74))&gt;0,1,0)</x:f>
        <x:v>1</x:v>
      </x:c>
    </x:row>
    <x:row r="581">
      <x:c r="A581" s="50" t="str">
        <x:f>Members!A581</x:f>
        <x:v>SYN0578</x:v>
      </x:c>
      <x:c r="B581" s="51" t="n">
        <x:f>Members!B581</x:f>
        <x:v>46219</x:v>
      </x:c>
      <x:c r="C581" s="50" t="str">
        <x:f>Members!C581</x:f>
        <x:v>Employer</x:v>
      </x:c>
      <x:c r="D581" s="50" t="n">
        <x:f>IF($B581&lt;='Scorecard'!$B$3-7,1,0)</x:f>
        <x:v>1</x:v>
      </x:c>
      <x:c r="E581" s="50" t="n">
        <x:f>IF(COUNTIFS(Events!$B$4:$B$1456,$A581,Events!$C$4:$C$1456,"coach_contact_completed",Events!$D$4:$D$1456,"&gt;="&amp;($B581+0),Events!$D$4:$D$1456,"&lt;="&amp;($B581+7))&gt;0,1,0)</x:f>
        <x:v>1</x:v>
      </x:c>
      <x:c r="F581" s="50" t="n">
        <x:f>IF($B581&lt;='Scorecard'!$B$3-37,1,0)</x:f>
        <x:v>1</x:v>
      </x:c>
      <x:c r="G581" s="50" t="n">
        <x:f>IF(COUNTIFS(Events!$B$4:$B$1456,$A581,Events!$C$4:$C$1456,"day30_checkin_completed",Events!$D$4:$D$1456,"&gt;="&amp;($B581+28),Events!$D$4:$D$1456,"&lt;="&amp;($B581+37))&gt;0,1,0)</x:f>
        <x:v>1</x:v>
      </x:c>
      <x:c r="H581" s="50" t="n">
        <x:f>IF($B581&lt;='Scorecard'!$B$3-74,1,0)</x:f>
        <x:v>1</x:v>
      </x:c>
      <x:c r="I581" s="50" t="n">
        <x:f>IF(COUNTIFS(Events!$B$4:$B$1456,$A581,Events!$C$4:$C$1456,"day60_activity_observed",Events!$D$4:$D$1456,"&gt;="&amp;($B581+60),Events!$D$4:$D$1456,"&lt;="&amp;($B581+74))&gt;0,1,0)</x:f>
        <x:v>1</x:v>
      </x:c>
    </x:row>
    <x:row r="582">
      <x:c r="A582" s="50" t="str">
        <x:f>Members!A582</x:f>
        <x:v>SYN0579</x:v>
      </x:c>
      <x:c r="B582" s="51" t="n">
        <x:f>Members!B582</x:f>
        <x:v>46121</x:v>
      </x:c>
      <x:c r="C582" s="50" t="str">
        <x:f>Members!C582</x:f>
        <x:v>Direct</x:v>
      </x:c>
      <x:c r="D582" s="50" t="n">
        <x:f>IF($B582&lt;='Scorecard'!$B$3-7,1,0)</x:f>
        <x:v>1</x:v>
      </x:c>
      <x:c r="E582" s="50" t="n">
        <x:f>IF(COUNTIFS(Events!$B$4:$B$1456,$A582,Events!$C$4:$C$1456,"coach_contact_completed",Events!$D$4:$D$1456,"&gt;="&amp;($B582+0),Events!$D$4:$D$1456,"&lt;="&amp;($B582+7))&gt;0,1,0)</x:f>
        <x:v>1</x:v>
      </x:c>
      <x:c r="F582" s="50" t="n">
        <x:f>IF($B582&lt;='Scorecard'!$B$3-37,1,0)</x:f>
        <x:v>1</x:v>
      </x:c>
      <x:c r="G582" s="50" t="n">
        <x:f>IF(COUNTIFS(Events!$B$4:$B$1456,$A582,Events!$C$4:$C$1456,"day30_checkin_completed",Events!$D$4:$D$1456,"&gt;="&amp;($B582+28),Events!$D$4:$D$1456,"&lt;="&amp;($B582+37))&gt;0,1,0)</x:f>
        <x:v>1</x:v>
      </x:c>
      <x:c r="H582" s="50" t="n">
        <x:f>IF($B582&lt;='Scorecard'!$B$3-74,1,0)</x:f>
        <x:v>1</x:v>
      </x:c>
      <x:c r="I582" s="50" t="n">
        <x:f>IF(COUNTIFS(Events!$B$4:$B$1456,$A582,Events!$C$4:$C$1456,"day60_activity_observed",Events!$D$4:$D$1456,"&gt;="&amp;($B582+60),Events!$D$4:$D$1456,"&lt;="&amp;($B582+74))&gt;0,1,0)</x:f>
        <x:v>1</x:v>
      </x:c>
    </x:row>
    <x:row r="583">
      <x:c r="A583" s="50" t="str">
        <x:f>Members!A583</x:f>
        <x:v>SYN0580</x:v>
      </x:c>
      <x:c r="B583" s="51" t="n">
        <x:f>Members!B583</x:f>
        <x:v>46231</x:v>
      </x:c>
      <x:c r="C583" s="50" t="str">
        <x:f>Members!C583</x:f>
        <x:v>Employer</x:v>
      </x:c>
      <x:c r="D583" s="50" t="n">
        <x:f>IF($B583&lt;='Scorecard'!$B$3-7,1,0)</x:f>
        <x:v>1</x:v>
      </x:c>
      <x:c r="E583" s="50" t="n">
        <x:f>IF(COUNTIFS(Events!$B$4:$B$1456,$A583,Events!$C$4:$C$1456,"coach_contact_completed",Events!$D$4:$D$1456,"&gt;="&amp;($B583+0),Events!$D$4:$D$1456,"&lt;="&amp;($B583+7))&gt;0,1,0)</x:f>
        <x:v>1</x:v>
      </x:c>
      <x:c r="F583" s="50" t="n">
        <x:f>IF($B583&lt;='Scorecard'!$B$3-37,1,0)</x:f>
        <x:v>1</x:v>
      </x:c>
      <x:c r="G583" s="50" t="n">
        <x:f>IF(COUNTIFS(Events!$B$4:$B$1456,$A583,Events!$C$4:$C$1456,"day30_checkin_completed",Events!$D$4:$D$1456,"&gt;="&amp;($B583+28),Events!$D$4:$D$1456,"&lt;="&amp;($B583+37))&gt;0,1,0)</x:f>
        <x:v>0</x:v>
      </x:c>
      <x:c r="H583" s="50" t="n">
        <x:f>IF($B583&lt;='Scorecard'!$B$3-74,1,0)</x:f>
        <x:v>0</x:v>
      </x:c>
      <x:c r="I583" s="50" t="n">
        <x:f>IF(COUNTIFS(Events!$B$4:$B$1456,$A583,Events!$C$4:$C$1456,"day60_activity_observed",Events!$D$4:$D$1456,"&gt;="&amp;($B583+60),Events!$D$4:$D$1456,"&lt;="&amp;($B583+74))&gt;0,1,0)</x:f>
        <x:v>0</x:v>
      </x:c>
    </x:row>
    <x:row r="584">
      <x:c r="A584" s="50" t="str">
        <x:f>Members!A584</x:f>
        <x:v>SYN0581</x:v>
      </x:c>
      <x:c r="B584" s="51" t="n">
        <x:f>Members!B584</x:f>
        <x:v>46259</x:v>
      </x:c>
      <x:c r="C584" s="50" t="str">
        <x:f>Members!C584</x:f>
        <x:v>Direct</x:v>
      </x:c>
      <x:c r="D584" s="50" t="n">
        <x:f>IF($B584&lt;='Scorecard'!$B$3-7,1,0)</x:f>
        <x:v>1</x:v>
      </x:c>
      <x:c r="E584" s="50" t="n">
        <x:f>IF(COUNTIFS(Events!$B$4:$B$1456,$A584,Events!$C$4:$C$1456,"coach_contact_completed",Events!$D$4:$D$1456,"&gt;="&amp;($B584+0),Events!$D$4:$D$1456,"&lt;="&amp;($B584+7))&gt;0,1,0)</x:f>
        <x:v>0</x:v>
      </x:c>
      <x:c r="F584" s="50" t="n">
        <x:f>IF($B584&lt;='Scorecard'!$B$3-37,1,0)</x:f>
        <x:v>0</x:v>
      </x:c>
      <x:c r="G584" s="50" t="n">
        <x:f>IF(COUNTIFS(Events!$B$4:$B$1456,$A584,Events!$C$4:$C$1456,"day30_checkin_completed",Events!$D$4:$D$1456,"&gt;="&amp;($B584+28),Events!$D$4:$D$1456,"&lt;="&amp;($B584+37))&gt;0,1,0)</x:f>
        <x:v>1</x:v>
      </x:c>
      <x:c r="H584" s="50" t="n">
        <x:f>IF($B584&lt;='Scorecard'!$B$3-74,1,0)</x:f>
        <x:v>0</x:v>
      </x:c>
      <x:c r="I584" s="50" t="n">
        <x:f>IF(COUNTIFS(Events!$B$4:$B$1456,$A584,Events!$C$4:$C$1456,"day60_activity_observed",Events!$D$4:$D$1456,"&gt;="&amp;($B584+60),Events!$D$4:$D$1456,"&lt;="&amp;($B584+74))&gt;0,1,0)</x:f>
        <x:v>0</x:v>
      </x:c>
    </x:row>
    <x:row r="585">
      <x:c r="A585" s="50" t="str">
        <x:f>Members!A585</x:f>
        <x:v>SYN0582</x:v>
      </x:c>
      <x:c r="B585" s="51" t="n">
        <x:f>Members!B585</x:f>
        <x:v>46242</x:v>
      </x:c>
      <x:c r="C585" s="50" t="str">
        <x:f>Members!C585</x:f>
        <x:v>Employer</x:v>
      </x:c>
      <x:c r="D585" s="50" t="n">
        <x:f>IF($B585&lt;='Scorecard'!$B$3-7,1,0)</x:f>
        <x:v>1</x:v>
      </x:c>
      <x:c r="E585" s="50" t="n">
        <x:f>IF(COUNTIFS(Events!$B$4:$B$1456,$A585,Events!$C$4:$C$1456,"coach_contact_completed",Events!$D$4:$D$1456,"&gt;="&amp;($B585+0),Events!$D$4:$D$1456,"&lt;="&amp;($B585+7))&gt;0,1,0)</x:f>
        <x:v>1</x:v>
      </x:c>
      <x:c r="F585" s="50" t="n">
        <x:f>IF($B585&lt;='Scorecard'!$B$3-37,1,0)</x:f>
        <x:v>1</x:v>
      </x:c>
      <x:c r="G585" s="50" t="n">
        <x:f>IF(COUNTIFS(Events!$B$4:$B$1456,$A585,Events!$C$4:$C$1456,"day30_checkin_completed",Events!$D$4:$D$1456,"&gt;="&amp;($B585+28),Events!$D$4:$D$1456,"&lt;="&amp;($B585+37))&gt;0,1,0)</x:f>
        <x:v>1</x:v>
      </x:c>
      <x:c r="H585" s="50" t="n">
        <x:f>IF($B585&lt;='Scorecard'!$B$3-74,1,0)</x:f>
        <x:v>0</x:v>
      </x:c>
      <x:c r="I585" s="50" t="n">
        <x:f>IF(COUNTIFS(Events!$B$4:$B$1456,$A585,Events!$C$4:$C$1456,"day60_activity_observed",Events!$D$4:$D$1456,"&gt;="&amp;($B585+60),Events!$D$4:$D$1456,"&lt;="&amp;($B585+74))&gt;0,1,0)</x:f>
        <x:v>0</x:v>
      </x:c>
    </x:row>
    <x:row r="586">
      <x:c r="A586" s="50" t="str">
        <x:f>Members!A586</x:f>
        <x:v>SYN0583</x:v>
      </x:c>
      <x:c r="B586" s="51" t="n">
        <x:f>Members!B586</x:f>
        <x:v>46247</x:v>
      </x:c>
      <x:c r="C586" s="50" t="str">
        <x:f>Members!C586</x:f>
        <x:v>Employer</x:v>
      </x:c>
      <x:c r="D586" s="50" t="n">
        <x:f>IF($B586&lt;='Scorecard'!$B$3-7,1,0)</x:f>
        <x:v>1</x:v>
      </x:c>
      <x:c r="E586" s="50" t="n">
        <x:f>IF(COUNTIFS(Events!$B$4:$B$1456,$A586,Events!$C$4:$C$1456,"coach_contact_completed",Events!$D$4:$D$1456,"&gt;="&amp;($B586+0),Events!$D$4:$D$1456,"&lt;="&amp;($B586+7))&gt;0,1,0)</x:f>
        <x:v>1</x:v>
      </x:c>
      <x:c r="F586" s="50" t="n">
        <x:f>IF($B586&lt;='Scorecard'!$B$3-37,1,0)</x:f>
        <x:v>1</x:v>
      </x:c>
      <x:c r="G586" s="50" t="n">
        <x:f>IF(COUNTIFS(Events!$B$4:$B$1456,$A586,Events!$C$4:$C$1456,"day30_checkin_completed",Events!$D$4:$D$1456,"&gt;="&amp;($B586+28),Events!$D$4:$D$1456,"&lt;="&amp;($B586+37))&gt;0,1,0)</x:f>
        <x:v>1</x:v>
      </x:c>
      <x:c r="H586" s="50" t="n">
        <x:f>IF($B586&lt;='Scorecard'!$B$3-74,1,0)</x:f>
        <x:v>0</x:v>
      </x:c>
      <x:c r="I586" s="50" t="n">
        <x:f>IF(COUNTIFS(Events!$B$4:$B$1456,$A586,Events!$C$4:$C$1456,"day60_activity_observed",Events!$D$4:$D$1456,"&gt;="&amp;($B586+60),Events!$D$4:$D$1456,"&lt;="&amp;($B586+74))&gt;0,1,0)</x:f>
        <x:v>0</x:v>
      </x:c>
    </x:row>
    <x:row r="587">
      <x:c r="A587" s="50" t="str">
        <x:f>Members!A587</x:f>
        <x:v>SYN0584</x:v>
      </x:c>
      <x:c r="B587" s="51" t="n">
        <x:f>Members!B587</x:f>
        <x:v>46261</x:v>
      </x:c>
      <x:c r="C587" s="50" t="str">
        <x:f>Members!C587</x:f>
        <x:v>Direct</x:v>
      </x:c>
      <x:c r="D587" s="50" t="n">
        <x:f>IF($B587&lt;='Scorecard'!$B$3-7,1,0)</x:f>
        <x:v>1</x:v>
      </x:c>
      <x:c r="E587" s="50" t="n">
        <x:f>IF(COUNTIFS(Events!$B$4:$B$1456,$A587,Events!$C$4:$C$1456,"coach_contact_completed",Events!$D$4:$D$1456,"&gt;="&amp;($B587+0),Events!$D$4:$D$1456,"&lt;="&amp;($B587+7))&gt;0,1,0)</x:f>
        <x:v>1</x:v>
      </x:c>
      <x:c r="F587" s="50" t="n">
        <x:f>IF($B587&lt;='Scorecard'!$B$3-37,1,0)</x:f>
        <x:v>0</x:v>
      </x:c>
      <x:c r="G587" s="50" t="n">
        <x:f>IF(COUNTIFS(Events!$B$4:$B$1456,$A587,Events!$C$4:$C$1456,"day30_checkin_completed",Events!$D$4:$D$1456,"&gt;="&amp;($B587+28),Events!$D$4:$D$1456,"&lt;="&amp;($B587+37))&gt;0,1,0)</x:f>
        <x:v>0</x:v>
      </x:c>
      <x:c r="H587" s="50" t="n">
        <x:f>IF($B587&lt;='Scorecard'!$B$3-74,1,0)</x:f>
        <x:v>0</x:v>
      </x:c>
      <x:c r="I587" s="50" t="n">
        <x:f>IF(COUNTIFS(Events!$B$4:$B$1456,$A587,Events!$C$4:$C$1456,"day60_activity_observed",Events!$D$4:$D$1456,"&gt;="&amp;($B587+60),Events!$D$4:$D$1456,"&lt;="&amp;($B587+74))&gt;0,1,0)</x:f>
        <x:v>0</x:v>
      </x:c>
    </x:row>
    <x:row r="588">
      <x:c r="A588" s="50" t="str">
        <x:f>Members!A588</x:f>
        <x:v>SYN0585</x:v>
      </x:c>
      <x:c r="B588" s="51" t="n">
        <x:f>Members!B588</x:f>
        <x:v>46076</x:v>
      </x:c>
      <x:c r="C588" s="50" t="str">
        <x:f>Members!C588</x:f>
        <x:v>Direct</x:v>
      </x:c>
      <x:c r="D588" s="50" t="n">
        <x:f>IF($B588&lt;='Scorecard'!$B$3-7,1,0)</x:f>
        <x:v>1</x:v>
      </x:c>
      <x:c r="E588" s="50" t="n">
        <x:f>IF(COUNTIFS(Events!$B$4:$B$1456,$A588,Events!$C$4:$C$1456,"coach_contact_completed",Events!$D$4:$D$1456,"&gt;="&amp;($B588+0),Events!$D$4:$D$1456,"&lt;="&amp;($B588+7))&gt;0,1,0)</x:f>
        <x:v>1</x:v>
      </x:c>
      <x:c r="F588" s="50" t="n">
        <x:f>IF($B588&lt;='Scorecard'!$B$3-37,1,0)</x:f>
        <x:v>1</x:v>
      </x:c>
      <x:c r="G588" s="50" t="n">
        <x:f>IF(COUNTIFS(Events!$B$4:$B$1456,$A588,Events!$C$4:$C$1456,"day30_checkin_completed",Events!$D$4:$D$1456,"&gt;="&amp;($B588+28),Events!$D$4:$D$1456,"&lt;="&amp;($B588+37))&gt;0,1,0)</x:f>
        <x:v>1</x:v>
      </x:c>
      <x:c r="H588" s="50" t="n">
        <x:f>IF($B588&lt;='Scorecard'!$B$3-74,1,0)</x:f>
        <x:v>1</x:v>
      </x:c>
      <x:c r="I588" s="50" t="n">
        <x:f>IF(COUNTIFS(Events!$B$4:$B$1456,$A588,Events!$C$4:$C$1456,"day60_activity_observed",Events!$D$4:$D$1456,"&gt;="&amp;($B588+60),Events!$D$4:$D$1456,"&lt;="&amp;($B588+74))&gt;0,1,0)</x:f>
        <x:v>1</x:v>
      </x:c>
    </x:row>
    <x:row r="589">
      <x:c r="A589" s="50" t="str">
        <x:f>Members!A589</x:f>
        <x:v>SYN0586</x:v>
      </x:c>
      <x:c r="B589" s="51" t="n">
        <x:f>Members!B589</x:f>
        <x:v>46150</x:v>
      </x:c>
      <x:c r="C589" s="50" t="str">
        <x:f>Members!C589</x:f>
        <x:v>Employer</x:v>
      </x:c>
      <x:c r="D589" s="50" t="n">
        <x:f>IF($B589&lt;='Scorecard'!$B$3-7,1,0)</x:f>
        <x:v>1</x:v>
      </x:c>
      <x:c r="E589" s="50" t="n">
        <x:f>IF(COUNTIFS(Events!$B$4:$B$1456,$A589,Events!$C$4:$C$1456,"coach_contact_completed",Events!$D$4:$D$1456,"&gt;="&amp;($B589+0),Events!$D$4:$D$1456,"&lt;="&amp;($B589+7))&gt;0,1,0)</x:f>
        <x:v>1</x:v>
      </x:c>
      <x:c r="F589" s="50" t="n">
        <x:f>IF($B589&lt;='Scorecard'!$B$3-37,1,0)</x:f>
        <x:v>1</x:v>
      </x:c>
      <x:c r="G589" s="50" t="n">
        <x:f>IF(COUNTIFS(Events!$B$4:$B$1456,$A589,Events!$C$4:$C$1456,"day30_checkin_completed",Events!$D$4:$D$1456,"&gt;="&amp;($B589+28),Events!$D$4:$D$1456,"&lt;="&amp;($B589+37))&gt;0,1,0)</x:f>
        <x:v>0</x:v>
      </x:c>
      <x:c r="H589" s="50" t="n">
        <x:f>IF($B589&lt;='Scorecard'!$B$3-74,1,0)</x:f>
        <x:v>1</x:v>
      </x:c>
      <x:c r="I589" s="50" t="n">
        <x:f>IF(COUNTIFS(Events!$B$4:$B$1456,$A589,Events!$C$4:$C$1456,"day60_activity_observed",Events!$D$4:$D$1456,"&gt;="&amp;($B589+60),Events!$D$4:$D$1456,"&lt;="&amp;($B589+74))&gt;0,1,0)</x:f>
        <x:v>1</x:v>
      </x:c>
    </x:row>
    <x:row r="590">
      <x:c r="A590" s="50" t="str">
        <x:f>Members!A590</x:f>
        <x:v>SYN0587</x:v>
      </x:c>
      <x:c r="B590" s="51" t="n">
        <x:f>Members!B590</x:f>
        <x:v>46035</x:v>
      </x:c>
      <x:c r="C590" s="50" t="str">
        <x:f>Members!C590</x:f>
        <x:v>Employer</x:v>
      </x:c>
      <x:c r="D590" s="50" t="n">
        <x:f>IF($B590&lt;='Scorecard'!$B$3-7,1,0)</x:f>
        <x:v>1</x:v>
      </x:c>
      <x:c r="E590" s="50" t="n">
        <x:f>IF(COUNTIFS(Events!$B$4:$B$1456,$A590,Events!$C$4:$C$1456,"coach_contact_completed",Events!$D$4:$D$1456,"&gt;="&amp;($B590+0),Events!$D$4:$D$1456,"&lt;="&amp;($B590+7))&gt;0,1,0)</x:f>
        <x:v>1</x:v>
      </x:c>
      <x:c r="F590" s="50" t="n">
        <x:f>IF($B590&lt;='Scorecard'!$B$3-37,1,0)</x:f>
        <x:v>1</x:v>
      </x:c>
      <x:c r="G590" s="50" t="n">
        <x:f>IF(COUNTIFS(Events!$B$4:$B$1456,$A590,Events!$C$4:$C$1456,"day30_checkin_completed",Events!$D$4:$D$1456,"&gt;="&amp;($B590+28),Events!$D$4:$D$1456,"&lt;="&amp;($B590+37))&gt;0,1,0)</x:f>
        <x:v>0</x:v>
      </x:c>
      <x:c r="H590" s="50" t="n">
        <x:f>IF($B590&lt;='Scorecard'!$B$3-74,1,0)</x:f>
        <x:v>1</x:v>
      </x:c>
      <x:c r="I590" s="50" t="n">
        <x:f>IF(COUNTIFS(Events!$B$4:$B$1456,$A590,Events!$C$4:$C$1456,"day60_activity_observed",Events!$D$4:$D$1456,"&gt;="&amp;($B590+60),Events!$D$4:$D$1456,"&lt;="&amp;($B590+74))&gt;0,1,0)</x:f>
        <x:v>0</x:v>
      </x:c>
    </x:row>
    <x:row r="591">
      <x:c r="A591" s="50" t="str">
        <x:f>Members!A591</x:f>
        <x:v>SYN0588</x:v>
      </x:c>
      <x:c r="B591" s="51" t="n">
        <x:f>Members!B591</x:f>
        <x:v>46088</x:v>
      </x:c>
      <x:c r="C591" s="50" t="str">
        <x:f>Members!C591</x:f>
        <x:v>Direct</x:v>
      </x:c>
      <x:c r="D591" s="50" t="n">
        <x:f>IF($B591&lt;='Scorecard'!$B$3-7,1,0)</x:f>
        <x:v>1</x:v>
      </x:c>
      <x:c r="E591" s="50" t="n">
        <x:f>IF(COUNTIFS(Events!$B$4:$B$1456,$A591,Events!$C$4:$C$1456,"coach_contact_completed",Events!$D$4:$D$1456,"&gt;="&amp;($B591+0),Events!$D$4:$D$1456,"&lt;="&amp;($B591+7))&gt;0,1,0)</x:f>
        <x:v>1</x:v>
      </x:c>
      <x:c r="F591" s="50" t="n">
        <x:f>IF($B591&lt;='Scorecard'!$B$3-37,1,0)</x:f>
        <x:v>1</x:v>
      </x:c>
      <x:c r="G591" s="50" t="n">
        <x:f>IF(COUNTIFS(Events!$B$4:$B$1456,$A591,Events!$C$4:$C$1456,"day30_checkin_completed",Events!$D$4:$D$1456,"&gt;="&amp;($B591+28),Events!$D$4:$D$1456,"&lt;="&amp;($B591+37))&gt;0,1,0)</x:f>
        <x:v>1</x:v>
      </x:c>
      <x:c r="H591" s="50" t="n">
        <x:f>IF($B591&lt;='Scorecard'!$B$3-74,1,0)</x:f>
        <x:v>1</x:v>
      </x:c>
      <x:c r="I591" s="50" t="n">
        <x:f>IF(COUNTIFS(Events!$B$4:$B$1456,$A591,Events!$C$4:$C$1456,"day60_activity_observed",Events!$D$4:$D$1456,"&gt;="&amp;($B591+60),Events!$D$4:$D$1456,"&lt;="&amp;($B591+74))&gt;0,1,0)</x:f>
        <x:v>1</x:v>
      </x:c>
    </x:row>
    <x:row r="592">
      <x:c r="A592" s="50" t="str">
        <x:f>Members!A592</x:f>
        <x:v>SYN0589</x:v>
      </x:c>
      <x:c r="B592" s="51" t="n">
        <x:f>Members!B592</x:f>
        <x:v>46157</x:v>
      </x:c>
      <x:c r="C592" s="50" t="str">
        <x:f>Members!C592</x:f>
        <x:v>Direct</x:v>
      </x:c>
      <x:c r="D592" s="50" t="n">
        <x:f>IF($B592&lt;='Scorecard'!$B$3-7,1,0)</x:f>
        <x:v>1</x:v>
      </x:c>
      <x:c r="E592" s="50" t="n">
        <x:f>IF(COUNTIFS(Events!$B$4:$B$1456,$A592,Events!$C$4:$C$1456,"coach_contact_completed",Events!$D$4:$D$1456,"&gt;="&amp;($B592+0),Events!$D$4:$D$1456,"&lt;="&amp;($B592+7))&gt;0,1,0)</x:f>
        <x:v>0</x:v>
      </x:c>
      <x:c r="F592" s="50" t="n">
        <x:f>IF($B592&lt;='Scorecard'!$B$3-37,1,0)</x:f>
        <x:v>1</x:v>
      </x:c>
      <x:c r="G592" s="50" t="n">
        <x:f>IF(COUNTIFS(Events!$B$4:$B$1456,$A592,Events!$C$4:$C$1456,"day30_checkin_completed",Events!$D$4:$D$1456,"&gt;="&amp;($B592+28),Events!$D$4:$D$1456,"&lt;="&amp;($B592+37))&gt;0,1,0)</x:f>
        <x:v>1</x:v>
      </x:c>
      <x:c r="H592" s="50" t="n">
        <x:f>IF($B592&lt;='Scorecard'!$B$3-74,1,0)</x:f>
        <x:v>1</x:v>
      </x:c>
      <x:c r="I592" s="50" t="n">
        <x:f>IF(COUNTIFS(Events!$B$4:$B$1456,$A592,Events!$C$4:$C$1456,"day60_activity_observed",Events!$D$4:$D$1456,"&gt;="&amp;($B592+60),Events!$D$4:$D$1456,"&lt;="&amp;($B592+74))&gt;0,1,0)</x:f>
        <x:v>0</x:v>
      </x:c>
    </x:row>
    <x:row r="593">
      <x:c r="A593" s="50" t="str">
        <x:f>Members!A593</x:f>
        <x:v>SYN0590</x:v>
      </x:c>
      <x:c r="B593" s="51" t="n">
        <x:f>Members!B593</x:f>
        <x:v>46259</x:v>
      </x:c>
      <x:c r="C593" s="50" t="str">
        <x:f>Members!C593</x:f>
        <x:v>Direct</x:v>
      </x:c>
      <x:c r="D593" s="50" t="n">
        <x:f>IF($B593&lt;='Scorecard'!$B$3-7,1,0)</x:f>
        <x:v>1</x:v>
      </x:c>
      <x:c r="E593" s="50" t="n">
        <x:f>IF(COUNTIFS(Events!$B$4:$B$1456,$A593,Events!$C$4:$C$1456,"coach_contact_completed",Events!$D$4:$D$1456,"&gt;="&amp;($B593+0),Events!$D$4:$D$1456,"&lt;="&amp;($B593+7))&gt;0,1,0)</x:f>
        <x:v>1</x:v>
      </x:c>
      <x:c r="F593" s="50" t="n">
        <x:f>IF($B593&lt;='Scorecard'!$B$3-37,1,0)</x:f>
        <x:v>0</x:v>
      </x:c>
      <x:c r="G593" s="50" t="n">
        <x:f>IF(COUNTIFS(Events!$B$4:$B$1456,$A593,Events!$C$4:$C$1456,"day30_checkin_completed",Events!$D$4:$D$1456,"&gt;="&amp;($B593+28),Events!$D$4:$D$1456,"&lt;="&amp;($B593+37))&gt;0,1,0)</x:f>
        <x:v>1</x:v>
      </x:c>
      <x:c r="H593" s="50" t="n">
        <x:f>IF($B593&lt;='Scorecard'!$B$3-74,1,0)</x:f>
        <x:v>0</x:v>
      </x:c>
      <x:c r="I593" s="50" t="n">
        <x:f>IF(COUNTIFS(Events!$B$4:$B$1456,$A593,Events!$C$4:$C$1456,"day60_activity_observed",Events!$D$4:$D$1456,"&gt;="&amp;($B593+60),Events!$D$4:$D$1456,"&lt;="&amp;($B593+74))&gt;0,1,0)</x:f>
        <x:v>0</x:v>
      </x:c>
    </x:row>
    <x:row r="594">
      <x:c r="A594" s="50" t="str">
        <x:f>Members!A594</x:f>
        <x:v>SYN0591</x:v>
      </x:c>
      <x:c r="B594" s="51" t="n">
        <x:f>Members!B594</x:f>
        <x:v>46158</x:v>
      </x:c>
      <x:c r="C594" s="50" t="str">
        <x:f>Members!C594</x:f>
        <x:v>Employer</x:v>
      </x:c>
      <x:c r="D594" s="50" t="n">
        <x:f>IF($B594&lt;='Scorecard'!$B$3-7,1,0)</x:f>
        <x:v>1</x:v>
      </x:c>
      <x:c r="E594" s="50" t="n">
        <x:f>IF(COUNTIFS(Events!$B$4:$B$1456,$A594,Events!$C$4:$C$1456,"coach_contact_completed",Events!$D$4:$D$1456,"&gt;="&amp;($B594+0),Events!$D$4:$D$1456,"&lt;="&amp;($B594+7))&gt;0,1,0)</x:f>
        <x:v>0</x:v>
      </x:c>
      <x:c r="F594" s="50" t="n">
        <x:f>IF($B594&lt;='Scorecard'!$B$3-37,1,0)</x:f>
        <x:v>1</x:v>
      </x:c>
      <x:c r="G594" s="50" t="n">
        <x:f>IF(COUNTIFS(Events!$B$4:$B$1456,$A594,Events!$C$4:$C$1456,"day30_checkin_completed",Events!$D$4:$D$1456,"&gt;="&amp;($B594+28),Events!$D$4:$D$1456,"&lt;="&amp;($B594+37))&gt;0,1,0)</x:f>
        <x:v>0</x:v>
      </x:c>
      <x:c r="H594" s="50" t="n">
        <x:f>IF($B594&lt;='Scorecard'!$B$3-74,1,0)</x:f>
        <x:v>1</x:v>
      </x:c>
      <x:c r="I594" s="50" t="n">
        <x:f>IF(COUNTIFS(Events!$B$4:$B$1456,$A594,Events!$C$4:$C$1456,"day60_activity_observed",Events!$D$4:$D$1456,"&gt;="&amp;($B594+60),Events!$D$4:$D$1456,"&lt;="&amp;($B594+74))&gt;0,1,0)</x:f>
        <x:v>1</x:v>
      </x:c>
    </x:row>
    <x:row r="595">
      <x:c r="A595" s="50" t="str">
        <x:f>Members!A595</x:f>
        <x:v>SYN0592</x:v>
      </x:c>
      <x:c r="B595" s="51" t="n">
        <x:f>Members!B595</x:f>
        <x:v>46232</x:v>
      </x:c>
      <x:c r="C595" s="50" t="str">
        <x:f>Members!C595</x:f>
        <x:v>Direct</x:v>
      </x:c>
      <x:c r="D595" s="50" t="n">
        <x:f>IF($B595&lt;='Scorecard'!$B$3-7,1,0)</x:f>
        <x:v>1</x:v>
      </x:c>
      <x:c r="E595" s="50" t="n">
        <x:f>IF(COUNTIFS(Events!$B$4:$B$1456,$A595,Events!$C$4:$C$1456,"coach_contact_completed",Events!$D$4:$D$1456,"&gt;="&amp;($B595+0),Events!$D$4:$D$1456,"&lt;="&amp;($B595+7))&gt;0,1,0)</x:f>
        <x:v>1</x:v>
      </x:c>
      <x:c r="F595" s="50" t="n">
        <x:f>IF($B595&lt;='Scorecard'!$B$3-37,1,0)</x:f>
        <x:v>1</x:v>
      </x:c>
      <x:c r="G595" s="50" t="n">
        <x:f>IF(COUNTIFS(Events!$B$4:$B$1456,$A595,Events!$C$4:$C$1456,"day30_checkin_completed",Events!$D$4:$D$1456,"&gt;="&amp;($B595+28),Events!$D$4:$D$1456,"&lt;="&amp;($B595+37))&gt;0,1,0)</x:f>
        <x:v>1</x:v>
      </x:c>
      <x:c r="H595" s="50" t="n">
        <x:f>IF($B595&lt;='Scorecard'!$B$3-74,1,0)</x:f>
        <x:v>0</x:v>
      </x:c>
      <x:c r="I595" s="50" t="n">
        <x:f>IF(COUNTIFS(Events!$B$4:$B$1456,$A595,Events!$C$4:$C$1456,"day60_activity_observed",Events!$D$4:$D$1456,"&gt;="&amp;($B595+60),Events!$D$4:$D$1456,"&lt;="&amp;($B595+74))&gt;0,1,0)</x:f>
        <x:v>1</x:v>
      </x:c>
    </x:row>
    <x:row r="596">
      <x:c r="A596" s="50" t="str">
        <x:f>Members!A596</x:f>
        <x:v>SYN0593</x:v>
      </x:c>
      <x:c r="B596" s="51" t="n">
        <x:f>Members!B596</x:f>
        <x:v>46262</x:v>
      </x:c>
      <x:c r="C596" s="50" t="str">
        <x:f>Members!C596</x:f>
        <x:v>Employer</x:v>
      </x:c>
      <x:c r="D596" s="50" t="n">
        <x:f>IF($B596&lt;='Scorecard'!$B$3-7,1,0)</x:f>
        <x:v>1</x:v>
      </x:c>
      <x:c r="E596" s="50" t="n">
        <x:f>IF(COUNTIFS(Events!$B$4:$B$1456,$A596,Events!$C$4:$C$1456,"coach_contact_completed",Events!$D$4:$D$1456,"&gt;="&amp;($B596+0),Events!$D$4:$D$1456,"&lt;="&amp;($B596+7))&gt;0,1,0)</x:f>
        <x:v>1</x:v>
      </x:c>
      <x:c r="F596" s="50" t="n">
        <x:f>IF($B596&lt;='Scorecard'!$B$3-37,1,0)</x:f>
        <x:v>0</x:v>
      </x:c>
      <x:c r="G596" s="50" t="n">
        <x:f>IF(COUNTIFS(Events!$B$4:$B$1456,$A596,Events!$C$4:$C$1456,"day30_checkin_completed",Events!$D$4:$D$1456,"&gt;="&amp;($B596+28),Events!$D$4:$D$1456,"&lt;="&amp;($B596+37))&gt;0,1,0)</x:f>
        <x:v>1</x:v>
      </x:c>
      <x:c r="H596" s="50" t="n">
        <x:f>IF($B596&lt;='Scorecard'!$B$3-74,1,0)</x:f>
        <x:v>0</x:v>
      </x:c>
      <x:c r="I596" s="50" t="n">
        <x:f>IF(COUNTIFS(Events!$B$4:$B$1456,$A596,Events!$C$4:$C$1456,"day60_activity_observed",Events!$D$4:$D$1456,"&gt;="&amp;($B596+60),Events!$D$4:$D$1456,"&lt;="&amp;($B596+74))&gt;0,1,0)</x:f>
        <x:v>0</x:v>
      </x:c>
    </x:row>
    <x:row r="597">
      <x:c r="A597" s="50" t="str">
        <x:f>Members!A597</x:f>
        <x:v>SYN0594</x:v>
      </x:c>
      <x:c r="B597" s="51" t="n">
        <x:f>Members!B597</x:f>
        <x:v>46117</x:v>
      </x:c>
      <x:c r="C597" s="50" t="str">
        <x:f>Members!C597</x:f>
        <x:v>Employer</x:v>
      </x:c>
      <x:c r="D597" s="50" t="n">
        <x:f>IF($B597&lt;='Scorecard'!$B$3-7,1,0)</x:f>
        <x:v>1</x:v>
      </x:c>
      <x:c r="E597" s="50" t="n">
        <x:f>IF(COUNTIFS(Events!$B$4:$B$1456,$A597,Events!$C$4:$C$1456,"coach_contact_completed",Events!$D$4:$D$1456,"&gt;="&amp;($B597+0),Events!$D$4:$D$1456,"&lt;="&amp;($B597+7))&gt;0,1,0)</x:f>
        <x:v>0</x:v>
      </x:c>
      <x:c r="F597" s="50" t="n">
        <x:f>IF($B597&lt;='Scorecard'!$B$3-37,1,0)</x:f>
        <x:v>1</x:v>
      </x:c>
      <x:c r="G597" s="50" t="n">
        <x:f>IF(COUNTIFS(Events!$B$4:$B$1456,$A597,Events!$C$4:$C$1456,"day30_checkin_completed",Events!$D$4:$D$1456,"&gt;="&amp;($B597+28),Events!$D$4:$D$1456,"&lt;="&amp;($B597+37))&gt;0,1,0)</x:f>
        <x:v>1</x:v>
      </x:c>
      <x:c r="H597" s="50" t="n">
        <x:f>IF($B597&lt;='Scorecard'!$B$3-74,1,0)</x:f>
        <x:v>1</x:v>
      </x:c>
      <x:c r="I597" s="50" t="n">
        <x:f>IF(COUNTIFS(Events!$B$4:$B$1456,$A597,Events!$C$4:$C$1456,"day60_activity_observed",Events!$D$4:$D$1456,"&gt;="&amp;($B597+60),Events!$D$4:$D$1456,"&lt;="&amp;($B597+74))&gt;0,1,0)</x:f>
        <x:v>1</x:v>
      </x:c>
    </x:row>
    <x:row r="598">
      <x:c r="A598" s="50" t="str">
        <x:f>Members!A598</x:f>
        <x:v>SYN0595</x:v>
      </x:c>
      <x:c r="B598" s="51" t="n">
        <x:f>Members!B598</x:f>
        <x:v>46169</x:v>
      </x:c>
      <x:c r="C598" s="50" t="str">
        <x:f>Members!C598</x:f>
        <x:v>Direct</x:v>
      </x:c>
      <x:c r="D598" s="50" t="n">
        <x:f>IF($B598&lt;='Scorecard'!$B$3-7,1,0)</x:f>
        <x:v>1</x:v>
      </x:c>
      <x:c r="E598" s="50" t="n">
        <x:f>IF(COUNTIFS(Events!$B$4:$B$1456,$A598,Events!$C$4:$C$1456,"coach_contact_completed",Events!$D$4:$D$1456,"&gt;="&amp;($B598+0),Events!$D$4:$D$1456,"&lt;="&amp;($B598+7))&gt;0,1,0)</x:f>
        <x:v>0</x:v>
      </x:c>
      <x:c r="F598" s="50" t="n">
        <x:f>IF($B598&lt;='Scorecard'!$B$3-37,1,0)</x:f>
        <x:v>1</x:v>
      </x:c>
      <x:c r="G598" s="50" t="n">
        <x:f>IF(COUNTIFS(Events!$B$4:$B$1456,$A598,Events!$C$4:$C$1456,"day30_checkin_completed",Events!$D$4:$D$1456,"&gt;="&amp;($B598+28),Events!$D$4:$D$1456,"&lt;="&amp;($B598+37))&gt;0,1,0)</x:f>
        <x:v>1</x:v>
      </x:c>
      <x:c r="H598" s="50" t="n">
        <x:f>IF($B598&lt;='Scorecard'!$B$3-74,1,0)</x:f>
        <x:v>1</x:v>
      </x:c>
      <x:c r="I598" s="50" t="n">
        <x:f>IF(COUNTIFS(Events!$B$4:$B$1456,$A598,Events!$C$4:$C$1456,"day60_activity_observed",Events!$D$4:$D$1456,"&gt;="&amp;($B598+60),Events!$D$4:$D$1456,"&lt;="&amp;($B598+74))&gt;0,1,0)</x:f>
        <x:v>0</x:v>
      </x:c>
    </x:row>
    <x:row r="599">
      <x:c r="A599" s="50" t="str">
        <x:f>Members!A599</x:f>
        <x:v>SYN0596</x:v>
      </x:c>
      <x:c r="B599" s="51" t="n">
        <x:f>Members!B599</x:f>
        <x:v>46107</x:v>
      </x:c>
      <x:c r="C599" s="50" t="str">
        <x:f>Members!C599</x:f>
        <x:v>Direct</x:v>
      </x:c>
      <x:c r="D599" s="50" t="n">
        <x:f>IF($B599&lt;='Scorecard'!$B$3-7,1,0)</x:f>
        <x:v>1</x:v>
      </x:c>
      <x:c r="E599" s="50" t="n">
        <x:f>IF(COUNTIFS(Events!$B$4:$B$1456,$A599,Events!$C$4:$C$1456,"coach_contact_completed",Events!$D$4:$D$1456,"&gt;="&amp;($B599+0),Events!$D$4:$D$1456,"&lt;="&amp;($B599+7))&gt;0,1,0)</x:f>
        <x:v>1</x:v>
      </x:c>
      <x:c r="F599" s="50" t="n">
        <x:f>IF($B599&lt;='Scorecard'!$B$3-37,1,0)</x:f>
        <x:v>1</x:v>
      </x:c>
      <x:c r="G599" s="50" t="n">
        <x:f>IF(COUNTIFS(Events!$B$4:$B$1456,$A599,Events!$C$4:$C$1456,"day30_checkin_completed",Events!$D$4:$D$1456,"&gt;="&amp;($B599+28),Events!$D$4:$D$1456,"&lt;="&amp;($B599+37))&gt;0,1,0)</x:f>
        <x:v>1</x:v>
      </x:c>
      <x:c r="H599" s="50" t="n">
        <x:f>IF($B599&lt;='Scorecard'!$B$3-74,1,0)</x:f>
        <x:v>1</x:v>
      </x:c>
      <x:c r="I599" s="50" t="n">
        <x:f>IF(COUNTIFS(Events!$B$4:$B$1456,$A599,Events!$C$4:$C$1456,"day60_activity_observed",Events!$D$4:$D$1456,"&gt;="&amp;($B599+60),Events!$D$4:$D$1456,"&lt;="&amp;($B599+74))&gt;0,1,0)</x:f>
        <x:v>1</x:v>
      </x:c>
    </x:row>
    <x:row r="600">
      <x:c r="A600" s="50" t="str">
        <x:f>Members!A600</x:f>
        <x:v>SYN0597</x:v>
      </x:c>
      <x:c r="B600" s="51" t="n">
        <x:f>Members!B600</x:f>
        <x:v>46164</x:v>
      </x:c>
      <x:c r="C600" s="50" t="str">
        <x:f>Members!C600</x:f>
        <x:v>Direct</x:v>
      </x:c>
      <x:c r="D600" s="50" t="n">
        <x:f>IF($B600&lt;='Scorecard'!$B$3-7,1,0)</x:f>
        <x:v>1</x:v>
      </x:c>
      <x:c r="E600" s="50" t="n">
        <x:f>IF(COUNTIFS(Events!$B$4:$B$1456,$A600,Events!$C$4:$C$1456,"coach_contact_completed",Events!$D$4:$D$1456,"&gt;="&amp;($B600+0),Events!$D$4:$D$1456,"&lt;="&amp;($B600+7))&gt;0,1,0)</x:f>
        <x:v>1</x:v>
      </x:c>
      <x:c r="F600" s="50" t="n">
        <x:f>IF($B600&lt;='Scorecard'!$B$3-37,1,0)</x:f>
        <x:v>1</x:v>
      </x:c>
      <x:c r="G600" s="50" t="n">
        <x:f>IF(COUNTIFS(Events!$B$4:$B$1456,$A600,Events!$C$4:$C$1456,"day30_checkin_completed",Events!$D$4:$D$1456,"&gt;="&amp;($B600+28),Events!$D$4:$D$1456,"&lt;="&amp;($B600+37))&gt;0,1,0)</x:f>
        <x:v>1</x:v>
      </x:c>
      <x:c r="H600" s="50" t="n">
        <x:f>IF($B600&lt;='Scorecard'!$B$3-74,1,0)</x:f>
        <x:v>1</x:v>
      </x:c>
      <x:c r="I600" s="50" t="n">
        <x:f>IF(COUNTIFS(Events!$B$4:$B$1456,$A600,Events!$C$4:$C$1456,"day60_activity_observed",Events!$D$4:$D$1456,"&gt;="&amp;($B600+60),Events!$D$4:$D$1456,"&lt;="&amp;($B600+74))&gt;0,1,0)</x:f>
        <x:v>1</x:v>
      </x:c>
    </x:row>
    <x:row r="601">
      <x:c r="A601" s="50" t="str">
        <x:f>Members!A601</x:f>
        <x:v>SYN0598</x:v>
      </x:c>
      <x:c r="B601" s="51" t="n">
        <x:f>Members!B601</x:f>
        <x:v>46096</x:v>
      </x:c>
      <x:c r="C601" s="50" t="str">
        <x:f>Members!C601</x:f>
        <x:v>Direct</x:v>
      </x:c>
      <x:c r="D601" s="50" t="n">
        <x:f>IF($B601&lt;='Scorecard'!$B$3-7,1,0)</x:f>
        <x:v>1</x:v>
      </x:c>
      <x:c r="E601" s="50" t="n">
        <x:f>IF(COUNTIFS(Events!$B$4:$B$1456,$A601,Events!$C$4:$C$1456,"coach_contact_completed",Events!$D$4:$D$1456,"&gt;="&amp;($B601+0),Events!$D$4:$D$1456,"&lt;="&amp;($B601+7))&gt;0,1,0)</x:f>
        <x:v>1</x:v>
      </x:c>
      <x:c r="F601" s="50" t="n">
        <x:f>IF($B601&lt;='Scorecard'!$B$3-37,1,0)</x:f>
        <x:v>1</x:v>
      </x:c>
      <x:c r="G601" s="50" t="n">
        <x:f>IF(COUNTIFS(Events!$B$4:$B$1456,$A601,Events!$C$4:$C$1456,"day30_checkin_completed",Events!$D$4:$D$1456,"&gt;="&amp;($B601+28),Events!$D$4:$D$1456,"&lt;="&amp;($B601+37))&gt;0,1,0)</x:f>
        <x:v>1</x:v>
      </x:c>
      <x:c r="H601" s="50" t="n">
        <x:f>IF($B601&lt;='Scorecard'!$B$3-74,1,0)</x:f>
        <x:v>1</x:v>
      </x:c>
      <x:c r="I601" s="50" t="n">
        <x:f>IF(COUNTIFS(Events!$B$4:$B$1456,$A601,Events!$C$4:$C$1456,"day60_activity_observed",Events!$D$4:$D$1456,"&gt;="&amp;($B601+60),Events!$D$4:$D$1456,"&lt;="&amp;($B601+74))&gt;0,1,0)</x:f>
        <x:v>0</x:v>
      </x:c>
    </x:row>
    <x:row r="602">
      <x:c r="A602" s="50" t="str">
        <x:f>Members!A602</x:f>
        <x:v>SYN0599</x:v>
      </x:c>
      <x:c r="B602" s="51" t="n">
        <x:f>Members!B602</x:f>
        <x:v>46066</x:v>
      </x:c>
      <x:c r="C602" s="50" t="str">
        <x:f>Members!C602</x:f>
        <x:v>Direct</x:v>
      </x:c>
      <x:c r="D602" s="50" t="n">
        <x:f>IF($B602&lt;='Scorecard'!$B$3-7,1,0)</x:f>
        <x:v>1</x:v>
      </x:c>
      <x:c r="E602" s="50" t="n">
        <x:f>IF(COUNTIFS(Events!$B$4:$B$1456,$A602,Events!$C$4:$C$1456,"coach_contact_completed",Events!$D$4:$D$1456,"&gt;="&amp;($B602+0),Events!$D$4:$D$1456,"&lt;="&amp;($B602+7))&gt;0,1,0)</x:f>
        <x:v>1</x:v>
      </x:c>
      <x:c r="F602" s="50" t="n">
        <x:f>IF($B602&lt;='Scorecard'!$B$3-37,1,0)</x:f>
        <x:v>1</x:v>
      </x:c>
      <x:c r="G602" s="50" t="n">
        <x:f>IF(COUNTIFS(Events!$B$4:$B$1456,$A602,Events!$C$4:$C$1456,"day30_checkin_completed",Events!$D$4:$D$1456,"&gt;="&amp;($B602+28),Events!$D$4:$D$1456,"&lt;="&amp;($B602+37))&gt;0,1,0)</x:f>
        <x:v>1</x:v>
      </x:c>
      <x:c r="H602" s="50" t="n">
        <x:f>IF($B602&lt;='Scorecard'!$B$3-74,1,0)</x:f>
        <x:v>1</x:v>
      </x:c>
      <x:c r="I602" s="50" t="n">
        <x:f>IF(COUNTIFS(Events!$B$4:$B$1456,$A602,Events!$C$4:$C$1456,"day60_activity_observed",Events!$D$4:$D$1456,"&gt;="&amp;($B602+60),Events!$D$4:$D$1456,"&lt;="&amp;($B602+74))&gt;0,1,0)</x:f>
        <x:v>0</x:v>
      </x:c>
    </x:row>
    <x:row r="603">
      <x:c r="A603" s="50" t="str">
        <x:f>Members!A603</x:f>
        <x:v>SYN0600</x:v>
      </x:c>
      <x:c r="B603" s="51" t="n">
        <x:f>Members!B603</x:f>
        <x:v>46176</x:v>
      </x:c>
      <x:c r="C603" s="50" t="str">
        <x:f>Members!C603</x:f>
        <x:v>Direct</x:v>
      </x:c>
      <x:c r="D603" s="50" t="n">
        <x:f>IF($B603&lt;='Scorecard'!$B$3-7,1,0)</x:f>
        <x:v>1</x:v>
      </x:c>
      <x:c r="E603" s="50" t="n">
        <x:f>IF(COUNTIFS(Events!$B$4:$B$1456,$A603,Events!$C$4:$C$1456,"coach_contact_completed",Events!$D$4:$D$1456,"&gt;="&amp;($B603+0),Events!$D$4:$D$1456,"&lt;="&amp;($B603+7))&gt;0,1,0)</x:f>
        <x:v>1</x:v>
      </x:c>
      <x:c r="F603" s="50" t="n">
        <x:f>IF($B603&lt;='Scorecard'!$B$3-37,1,0)</x:f>
        <x:v>1</x:v>
      </x:c>
      <x:c r="G603" s="50" t="n">
        <x:f>IF(COUNTIFS(Events!$B$4:$B$1456,$A603,Events!$C$4:$C$1456,"day30_checkin_completed",Events!$D$4:$D$1456,"&gt;="&amp;($B603+28),Events!$D$4:$D$1456,"&lt;="&amp;($B603+37))&gt;0,1,0)</x:f>
        <x:v>1</x:v>
      </x:c>
      <x:c r="H603" s="50" t="n">
        <x:f>IF($B603&lt;='Scorecard'!$B$3-74,1,0)</x:f>
        <x:v>1</x:v>
      </x:c>
      <x:c r="I603" s="50" t="n">
        <x:f>IF(COUNTIFS(Events!$B$4:$B$1456,$A603,Events!$C$4:$C$1456,"day60_activity_observed",Events!$D$4:$D$1456,"&gt;="&amp;($B603+60),Events!$D$4:$D$1456,"&lt;="&amp;($B603+74))&gt;0,1,0)</x:f>
        <x:v>1</x:v>
      </x:c>
    </x:row>
    <x:row r="604">
      <x:c r="A604" s="50" t="str">
        <x:f>Members!A604</x:f>
        <x:v>SYN0601</x:v>
      </x:c>
      <x:c r="B604" s="51" t="n">
        <x:f>Members!B604</x:f>
        <x:v>46077</x:v>
      </x:c>
      <x:c r="C604" s="50" t="str">
        <x:f>Members!C604</x:f>
        <x:v>Direct</x:v>
      </x:c>
      <x:c r="D604" s="50" t="n">
        <x:f>IF($B604&lt;='Scorecard'!$B$3-7,1,0)</x:f>
        <x:v>1</x:v>
      </x:c>
      <x:c r="E604" s="50" t="n">
        <x:f>IF(COUNTIFS(Events!$B$4:$B$1456,$A604,Events!$C$4:$C$1456,"coach_contact_completed",Events!$D$4:$D$1456,"&gt;="&amp;($B604+0),Events!$D$4:$D$1456,"&lt;="&amp;($B604+7))&gt;0,1,0)</x:f>
        <x:v>1</x:v>
      </x:c>
      <x:c r="F604" s="50" t="n">
        <x:f>IF($B604&lt;='Scorecard'!$B$3-37,1,0)</x:f>
        <x:v>1</x:v>
      </x:c>
      <x:c r="G604" s="50" t="n">
        <x:f>IF(COUNTIFS(Events!$B$4:$B$1456,$A604,Events!$C$4:$C$1456,"day30_checkin_completed",Events!$D$4:$D$1456,"&gt;="&amp;($B604+28),Events!$D$4:$D$1456,"&lt;="&amp;($B604+37))&gt;0,1,0)</x:f>
        <x:v>1</x:v>
      </x:c>
      <x:c r="H604" s="50" t="n">
        <x:f>IF($B604&lt;='Scorecard'!$B$3-74,1,0)</x:f>
        <x:v>1</x:v>
      </x:c>
      <x:c r="I604" s="50" t="n">
        <x:f>IF(COUNTIFS(Events!$B$4:$B$1456,$A604,Events!$C$4:$C$1456,"day60_activity_observed",Events!$D$4:$D$1456,"&gt;="&amp;($B604+60),Events!$D$4:$D$1456,"&lt;="&amp;($B604+74))&gt;0,1,0)</x:f>
        <x:v>1</x:v>
      </x:c>
    </x:row>
    <x:row r="605">
      <x:c r="A605" s="50" t="str">
        <x:f>Members!A605</x:f>
        <x:v>SYN0602</x:v>
      </x:c>
      <x:c r="B605" s="51" t="n">
        <x:f>Members!B605</x:f>
        <x:v>46027</x:v>
      </x:c>
      <x:c r="C605" s="50" t="str">
        <x:f>Members!C605</x:f>
        <x:v>Direct</x:v>
      </x:c>
      <x:c r="D605" s="50" t="n">
        <x:f>IF($B605&lt;='Scorecard'!$B$3-7,1,0)</x:f>
        <x:v>1</x:v>
      </x:c>
      <x:c r="E605" s="50" t="n">
        <x:f>IF(COUNTIFS(Events!$B$4:$B$1456,$A605,Events!$C$4:$C$1456,"coach_contact_completed",Events!$D$4:$D$1456,"&gt;="&amp;($B605+0),Events!$D$4:$D$1456,"&lt;="&amp;($B605+7))&gt;0,1,0)</x:f>
        <x:v>1</x:v>
      </x:c>
      <x:c r="F605" s="50" t="n">
        <x:f>IF($B605&lt;='Scorecard'!$B$3-37,1,0)</x:f>
        <x:v>1</x:v>
      </x:c>
      <x:c r="G605" s="50" t="n">
        <x:f>IF(COUNTIFS(Events!$B$4:$B$1456,$A605,Events!$C$4:$C$1456,"day30_checkin_completed",Events!$D$4:$D$1456,"&gt;="&amp;($B605+28),Events!$D$4:$D$1456,"&lt;="&amp;($B605+37))&gt;0,1,0)</x:f>
        <x:v>1</x:v>
      </x:c>
      <x:c r="H605" s="50" t="n">
        <x:f>IF($B605&lt;='Scorecard'!$B$3-74,1,0)</x:f>
        <x:v>1</x:v>
      </x:c>
      <x:c r="I605" s="50" t="n">
        <x:f>IF(COUNTIFS(Events!$B$4:$B$1456,$A605,Events!$C$4:$C$1456,"day60_activity_observed",Events!$D$4:$D$1456,"&gt;="&amp;($B605+60),Events!$D$4:$D$1456,"&lt;="&amp;($B605+74))&gt;0,1,0)</x:f>
        <x:v>1</x:v>
      </x:c>
    </x:row>
    <x:row r="606">
      <x:c r="A606" s="50" t="str">
        <x:f>Members!A606</x:f>
        <x:v>SYN0603</x:v>
      </x:c>
      <x:c r="B606" s="51" t="n">
        <x:f>Members!B606</x:f>
        <x:v>46199</x:v>
      </x:c>
      <x:c r="C606" s="50" t="str">
        <x:f>Members!C606</x:f>
        <x:v>Direct</x:v>
      </x:c>
      <x:c r="D606" s="50" t="n">
        <x:f>IF($B606&lt;='Scorecard'!$B$3-7,1,0)</x:f>
        <x:v>1</x:v>
      </x:c>
      <x:c r="E606" s="50" t="n">
        <x:f>IF(COUNTIFS(Events!$B$4:$B$1456,$A606,Events!$C$4:$C$1456,"coach_contact_completed",Events!$D$4:$D$1456,"&gt;="&amp;($B606+0),Events!$D$4:$D$1456,"&lt;="&amp;($B606+7))&gt;0,1,0)</x:f>
        <x:v>0</x:v>
      </x:c>
      <x:c r="F606" s="50" t="n">
        <x:f>IF($B606&lt;='Scorecard'!$B$3-37,1,0)</x:f>
        <x:v>1</x:v>
      </x:c>
      <x:c r="G606" s="50" t="n">
        <x:f>IF(COUNTIFS(Events!$B$4:$B$1456,$A606,Events!$C$4:$C$1456,"day30_checkin_completed",Events!$D$4:$D$1456,"&gt;="&amp;($B606+28),Events!$D$4:$D$1456,"&lt;="&amp;($B606+37))&gt;0,1,0)</x:f>
        <x:v>1</x:v>
      </x:c>
      <x:c r="H606" s="50" t="n">
        <x:f>IF($B606&lt;='Scorecard'!$B$3-74,1,0)</x:f>
        <x:v>1</x:v>
      </x:c>
      <x:c r="I606" s="50" t="n">
        <x:f>IF(COUNTIFS(Events!$B$4:$B$1456,$A606,Events!$C$4:$C$1456,"day60_activity_observed",Events!$D$4:$D$1456,"&gt;="&amp;($B606+60),Events!$D$4:$D$1456,"&lt;="&amp;($B606+74))&gt;0,1,0)</x:f>
        <x:v>1</x:v>
      </x:c>
    </x:row>
    <x:row r="607">
      <x:c r="A607" s="50" t="str">
        <x:f>Members!A607</x:f>
        <x:v>SYN0604</x:v>
      </x:c>
      <x:c r="B607" s="51" t="n">
        <x:f>Members!B607</x:f>
        <x:v>46153</x:v>
      </x:c>
      <x:c r="C607" s="50" t="str">
        <x:f>Members!C607</x:f>
        <x:v>Employer</x:v>
      </x:c>
      <x:c r="D607" s="50" t="n">
        <x:f>IF($B607&lt;='Scorecard'!$B$3-7,1,0)</x:f>
        <x:v>1</x:v>
      </x:c>
      <x:c r="E607" s="50" t="n">
        <x:f>IF(COUNTIFS(Events!$B$4:$B$1456,$A607,Events!$C$4:$C$1456,"coach_contact_completed",Events!$D$4:$D$1456,"&gt;="&amp;($B607+0),Events!$D$4:$D$1456,"&lt;="&amp;($B607+7))&gt;0,1,0)</x:f>
        <x:v>0</x:v>
      </x:c>
      <x:c r="F607" s="50" t="n">
        <x:f>IF($B607&lt;='Scorecard'!$B$3-37,1,0)</x:f>
        <x:v>1</x:v>
      </x:c>
      <x:c r="G607" s="50" t="n">
        <x:f>IF(COUNTIFS(Events!$B$4:$B$1456,$A607,Events!$C$4:$C$1456,"day30_checkin_completed",Events!$D$4:$D$1456,"&gt;="&amp;($B607+28),Events!$D$4:$D$1456,"&lt;="&amp;($B607+37))&gt;0,1,0)</x:f>
        <x:v>1</x:v>
      </x:c>
      <x:c r="H607" s="50" t="n">
        <x:f>IF($B607&lt;='Scorecard'!$B$3-74,1,0)</x:f>
        <x:v>1</x:v>
      </x:c>
      <x:c r="I607" s="50" t="n">
        <x:f>IF(COUNTIFS(Events!$B$4:$B$1456,$A607,Events!$C$4:$C$1456,"day60_activity_observed",Events!$D$4:$D$1456,"&gt;="&amp;($B607+60),Events!$D$4:$D$1456,"&lt;="&amp;($B607+74))&gt;0,1,0)</x:f>
        <x:v>0</x:v>
      </x:c>
    </x:row>
    <x:row r="608">
      <x:c r="A608" s="50" t="str">
        <x:f>Members!A608</x:f>
        <x:v>SYN0605</x:v>
      </x:c>
      <x:c r="B608" s="51" t="n">
        <x:f>Members!B608</x:f>
        <x:v>46256</x:v>
      </x:c>
      <x:c r="C608" s="50" t="str">
        <x:f>Members!C608</x:f>
        <x:v>Direct</x:v>
      </x:c>
      <x:c r="D608" s="50" t="n">
        <x:f>IF($B608&lt;='Scorecard'!$B$3-7,1,0)</x:f>
        <x:v>1</x:v>
      </x:c>
      <x:c r="E608" s="50" t="n">
        <x:f>IF(COUNTIFS(Events!$B$4:$B$1456,$A608,Events!$C$4:$C$1456,"coach_contact_completed",Events!$D$4:$D$1456,"&gt;="&amp;($B608+0),Events!$D$4:$D$1456,"&lt;="&amp;($B608+7))&gt;0,1,0)</x:f>
        <x:v>0</x:v>
      </x:c>
      <x:c r="F608" s="50" t="n">
        <x:f>IF($B608&lt;='Scorecard'!$B$3-37,1,0)</x:f>
        <x:v>1</x:v>
      </x:c>
      <x:c r="G608" s="50" t="n">
        <x:f>IF(COUNTIFS(Events!$B$4:$B$1456,$A608,Events!$C$4:$C$1456,"day30_checkin_completed",Events!$D$4:$D$1456,"&gt;="&amp;($B608+28),Events!$D$4:$D$1456,"&lt;="&amp;($B608+37))&gt;0,1,0)</x:f>
        <x:v>0</x:v>
      </x:c>
      <x:c r="H608" s="50" t="n">
        <x:f>IF($B608&lt;='Scorecard'!$B$3-74,1,0)</x:f>
        <x:v>0</x:v>
      </x:c>
      <x:c r="I608" s="50" t="n">
        <x:f>IF(COUNTIFS(Events!$B$4:$B$1456,$A608,Events!$C$4:$C$1456,"day60_activity_observed",Events!$D$4:$D$1456,"&gt;="&amp;($B608+60),Events!$D$4:$D$1456,"&lt;="&amp;($B608+74))&gt;0,1,0)</x:f>
        <x:v>0</x:v>
      </x:c>
    </x:row>
    <x:row r="609">
      <x:c r="A609" s="50" t="str">
        <x:f>Members!A609</x:f>
        <x:v>SYN0606</x:v>
      </x:c>
      <x:c r="B609" s="51" t="n">
        <x:f>Members!B609</x:f>
        <x:v>46235</x:v>
      </x:c>
      <x:c r="C609" s="50" t="str">
        <x:f>Members!C609</x:f>
        <x:v>Employer</x:v>
      </x:c>
      <x:c r="D609" s="50" t="n">
        <x:f>IF($B609&lt;='Scorecard'!$B$3-7,1,0)</x:f>
        <x:v>1</x:v>
      </x:c>
      <x:c r="E609" s="50" t="n">
        <x:f>IF(COUNTIFS(Events!$B$4:$B$1456,$A609,Events!$C$4:$C$1456,"coach_contact_completed",Events!$D$4:$D$1456,"&gt;="&amp;($B609+0),Events!$D$4:$D$1456,"&lt;="&amp;($B609+7))&gt;0,1,0)</x:f>
        <x:v>1</x:v>
      </x:c>
      <x:c r="F609" s="50" t="n">
        <x:f>IF($B609&lt;='Scorecard'!$B$3-37,1,0)</x:f>
        <x:v>1</x:v>
      </x:c>
      <x:c r="G609" s="50" t="n">
        <x:f>IF(COUNTIFS(Events!$B$4:$B$1456,$A609,Events!$C$4:$C$1456,"day30_checkin_completed",Events!$D$4:$D$1456,"&gt;="&amp;($B609+28),Events!$D$4:$D$1456,"&lt;="&amp;($B609+37))&gt;0,1,0)</x:f>
        <x:v>1</x:v>
      </x:c>
      <x:c r="H609" s="50" t="n">
        <x:f>IF($B609&lt;='Scorecard'!$B$3-74,1,0)</x:f>
        <x:v>0</x:v>
      </x:c>
      <x:c r="I609" s="50" t="n">
        <x:f>IF(COUNTIFS(Events!$B$4:$B$1456,$A609,Events!$C$4:$C$1456,"day60_activity_observed",Events!$D$4:$D$1456,"&gt;="&amp;($B609+60),Events!$D$4:$D$1456,"&lt;="&amp;($B609+74))&gt;0,1,0)</x:f>
        <x:v>0</x:v>
      </x:c>
    </x:row>
    <x:row r="610">
      <x:c r="A610" s="50" t="str">
        <x:f>Members!A610</x:f>
        <x:v>SYN0607</x:v>
      </x:c>
      <x:c r="B610" s="51" t="n">
        <x:f>Members!B610</x:f>
        <x:v>46071</x:v>
      </x:c>
      <x:c r="C610" s="50" t="str">
        <x:f>Members!C610</x:f>
        <x:v>Employer</x:v>
      </x:c>
      <x:c r="D610" s="50" t="n">
        <x:f>IF($B610&lt;='Scorecard'!$B$3-7,1,0)</x:f>
        <x:v>1</x:v>
      </x:c>
      <x:c r="E610" s="50" t="n">
        <x:f>IF(COUNTIFS(Events!$B$4:$B$1456,$A610,Events!$C$4:$C$1456,"coach_contact_completed",Events!$D$4:$D$1456,"&gt;="&amp;($B610+0),Events!$D$4:$D$1456,"&lt;="&amp;($B610+7))&gt;0,1,0)</x:f>
        <x:v>1</x:v>
      </x:c>
      <x:c r="F610" s="50" t="n">
        <x:f>IF($B610&lt;='Scorecard'!$B$3-37,1,0)</x:f>
        <x:v>1</x:v>
      </x:c>
      <x:c r="G610" s="50" t="n">
        <x:f>IF(COUNTIFS(Events!$B$4:$B$1456,$A610,Events!$C$4:$C$1456,"day30_checkin_completed",Events!$D$4:$D$1456,"&gt;="&amp;($B610+28),Events!$D$4:$D$1456,"&lt;="&amp;($B610+37))&gt;0,1,0)</x:f>
        <x:v>1</x:v>
      </x:c>
      <x:c r="H610" s="50" t="n">
        <x:f>IF($B610&lt;='Scorecard'!$B$3-74,1,0)</x:f>
        <x:v>1</x:v>
      </x:c>
      <x:c r="I610" s="50" t="n">
        <x:f>IF(COUNTIFS(Events!$B$4:$B$1456,$A610,Events!$C$4:$C$1456,"day60_activity_observed",Events!$D$4:$D$1456,"&gt;="&amp;($B610+60),Events!$D$4:$D$1456,"&lt;="&amp;($B610+74))&gt;0,1,0)</x:f>
        <x:v>0</x:v>
      </x:c>
    </x:row>
    <x:row r="611">
      <x:c r="A611" s="50" t="str">
        <x:f>Members!A611</x:f>
        <x:v>SYN0608</x:v>
      </x:c>
      <x:c r="B611" s="51" t="n">
        <x:f>Members!B611</x:f>
        <x:v>46249</x:v>
      </x:c>
      <x:c r="C611" s="50" t="str">
        <x:f>Members!C611</x:f>
        <x:v>Employer</x:v>
      </x:c>
      <x:c r="D611" s="50" t="n">
        <x:f>IF($B611&lt;='Scorecard'!$B$3-7,1,0)</x:f>
        <x:v>1</x:v>
      </x:c>
      <x:c r="E611" s="50" t="n">
        <x:f>IF(COUNTIFS(Events!$B$4:$B$1456,$A611,Events!$C$4:$C$1456,"coach_contact_completed",Events!$D$4:$D$1456,"&gt;="&amp;($B611+0),Events!$D$4:$D$1456,"&lt;="&amp;($B611+7))&gt;0,1,0)</x:f>
        <x:v>1</x:v>
      </x:c>
      <x:c r="F611" s="50" t="n">
        <x:f>IF($B611&lt;='Scorecard'!$B$3-37,1,0)</x:f>
        <x:v>1</x:v>
      </x:c>
      <x:c r="G611" s="50" t="n">
        <x:f>IF(COUNTIFS(Events!$B$4:$B$1456,$A611,Events!$C$4:$C$1456,"day30_checkin_completed",Events!$D$4:$D$1456,"&gt;="&amp;($B611+28),Events!$D$4:$D$1456,"&lt;="&amp;($B611+37))&gt;0,1,0)</x:f>
        <x:v>0</x:v>
      </x:c>
      <x:c r="H611" s="50" t="n">
        <x:f>IF($B611&lt;='Scorecard'!$B$3-74,1,0)</x:f>
        <x:v>0</x:v>
      </x:c>
      <x:c r="I611" s="50" t="n">
        <x:f>IF(COUNTIFS(Events!$B$4:$B$1456,$A611,Events!$C$4:$C$1456,"day60_activity_observed",Events!$D$4:$D$1456,"&gt;="&amp;($B611+60),Events!$D$4:$D$1456,"&lt;="&amp;($B611+74))&gt;0,1,0)</x:f>
        <x:v>0</x:v>
      </x:c>
    </x:row>
    <x:row r="612">
      <x:c r="A612" s="50" t="str">
        <x:f>Members!A612</x:f>
        <x:v>SYN0609</x:v>
      </x:c>
      <x:c r="B612" s="51" t="n">
        <x:f>Members!B612</x:f>
        <x:v>46064</x:v>
      </x:c>
      <x:c r="C612" s="50" t="str">
        <x:f>Members!C612</x:f>
        <x:v>Direct</x:v>
      </x:c>
      <x:c r="D612" s="50" t="n">
        <x:f>IF($B612&lt;='Scorecard'!$B$3-7,1,0)</x:f>
        <x:v>1</x:v>
      </x:c>
      <x:c r="E612" s="50" t="n">
        <x:f>IF(COUNTIFS(Events!$B$4:$B$1456,$A612,Events!$C$4:$C$1456,"coach_contact_completed",Events!$D$4:$D$1456,"&gt;="&amp;($B612+0),Events!$D$4:$D$1456,"&lt;="&amp;($B612+7))&gt;0,1,0)</x:f>
        <x:v>1</x:v>
      </x:c>
      <x:c r="F612" s="50" t="n">
        <x:f>IF($B612&lt;='Scorecard'!$B$3-37,1,0)</x:f>
        <x:v>1</x:v>
      </x:c>
      <x:c r="G612" s="50" t="n">
        <x:f>IF(COUNTIFS(Events!$B$4:$B$1456,$A612,Events!$C$4:$C$1456,"day30_checkin_completed",Events!$D$4:$D$1456,"&gt;="&amp;($B612+28),Events!$D$4:$D$1456,"&lt;="&amp;($B612+37))&gt;0,1,0)</x:f>
        <x:v>1</x:v>
      </x:c>
      <x:c r="H612" s="50" t="n">
        <x:f>IF($B612&lt;='Scorecard'!$B$3-74,1,0)</x:f>
        <x:v>1</x:v>
      </x:c>
      <x:c r="I612" s="50" t="n">
        <x:f>IF(COUNTIFS(Events!$B$4:$B$1456,$A612,Events!$C$4:$C$1456,"day60_activity_observed",Events!$D$4:$D$1456,"&gt;="&amp;($B612+60),Events!$D$4:$D$1456,"&lt;="&amp;($B612+74))&gt;0,1,0)</x:f>
        <x:v>0</x:v>
      </x:c>
    </x:row>
    <x:row r="613">
      <x:c r="A613" s="50" t="str">
        <x:f>Members!A613</x:f>
        <x:v>SYN0610</x:v>
      </x:c>
      <x:c r="B613" s="51" t="n">
        <x:f>Members!B613</x:f>
        <x:v>46135</x:v>
      </x:c>
      <x:c r="C613" s="50" t="str">
        <x:f>Members!C613</x:f>
        <x:v>Direct</x:v>
      </x:c>
      <x:c r="D613" s="50" t="n">
        <x:f>IF($B613&lt;='Scorecard'!$B$3-7,1,0)</x:f>
        <x:v>1</x:v>
      </x:c>
      <x:c r="E613" s="50" t="n">
        <x:f>IF(COUNTIFS(Events!$B$4:$B$1456,$A613,Events!$C$4:$C$1456,"coach_contact_completed",Events!$D$4:$D$1456,"&gt;="&amp;($B613+0),Events!$D$4:$D$1456,"&lt;="&amp;($B613+7))&gt;0,1,0)</x:f>
        <x:v>1</x:v>
      </x:c>
      <x:c r="F613" s="50" t="n">
        <x:f>IF($B613&lt;='Scorecard'!$B$3-37,1,0)</x:f>
        <x:v>1</x:v>
      </x:c>
      <x:c r="G613" s="50" t="n">
        <x:f>IF(COUNTIFS(Events!$B$4:$B$1456,$A613,Events!$C$4:$C$1456,"day30_checkin_completed",Events!$D$4:$D$1456,"&gt;="&amp;($B613+28),Events!$D$4:$D$1456,"&lt;="&amp;($B613+37))&gt;0,1,0)</x:f>
        <x:v>0</x:v>
      </x:c>
      <x:c r="H613" s="50" t="n">
        <x:f>IF($B613&lt;='Scorecard'!$B$3-74,1,0)</x:f>
        <x:v>1</x:v>
      </x:c>
      <x:c r="I613" s="50" t="n">
        <x:f>IF(COUNTIFS(Events!$B$4:$B$1456,$A613,Events!$C$4:$C$1456,"day60_activity_observed",Events!$D$4:$D$1456,"&gt;="&amp;($B613+60),Events!$D$4:$D$1456,"&lt;="&amp;($B613+74))&gt;0,1,0)</x:f>
        <x:v>1</x:v>
      </x:c>
    </x:row>
    <x:row r="614">
      <x:c r="A614" s="50" t="str">
        <x:f>Members!A614</x:f>
        <x:v>SYN0611</x:v>
      </x:c>
      <x:c r="B614" s="51" t="n">
        <x:f>Members!B614</x:f>
        <x:v>46152</x:v>
      </x:c>
      <x:c r="C614" s="50" t="str">
        <x:f>Members!C614</x:f>
        <x:v>Direct</x:v>
      </x:c>
      <x:c r="D614" s="50" t="n">
        <x:f>IF($B614&lt;='Scorecard'!$B$3-7,1,0)</x:f>
        <x:v>1</x:v>
      </x:c>
      <x:c r="E614" s="50" t="n">
        <x:f>IF(COUNTIFS(Events!$B$4:$B$1456,$A614,Events!$C$4:$C$1456,"coach_contact_completed",Events!$D$4:$D$1456,"&gt;="&amp;($B614+0),Events!$D$4:$D$1456,"&lt;="&amp;($B614+7))&gt;0,1,0)</x:f>
        <x:v>1</x:v>
      </x:c>
      <x:c r="F614" s="50" t="n">
        <x:f>IF($B614&lt;='Scorecard'!$B$3-37,1,0)</x:f>
        <x:v>1</x:v>
      </x:c>
      <x:c r="G614" s="50" t="n">
        <x:f>IF(COUNTIFS(Events!$B$4:$B$1456,$A614,Events!$C$4:$C$1456,"day30_checkin_completed",Events!$D$4:$D$1456,"&gt;="&amp;($B614+28),Events!$D$4:$D$1456,"&lt;="&amp;($B614+37))&gt;0,1,0)</x:f>
        <x:v>0</x:v>
      </x:c>
      <x:c r="H614" s="50" t="n">
        <x:f>IF($B614&lt;='Scorecard'!$B$3-74,1,0)</x:f>
        <x:v>1</x:v>
      </x:c>
      <x:c r="I614" s="50" t="n">
        <x:f>IF(COUNTIFS(Events!$B$4:$B$1456,$A614,Events!$C$4:$C$1456,"day60_activity_observed",Events!$D$4:$D$1456,"&gt;="&amp;($B614+60),Events!$D$4:$D$1456,"&lt;="&amp;($B614+74))&gt;0,1,0)</x:f>
        <x:v>0</x:v>
      </x:c>
    </x:row>
    <x:row r="615">
      <x:c r="A615" s="50" t="str">
        <x:f>Members!A615</x:f>
        <x:v>SYN0612</x:v>
      </x:c>
      <x:c r="B615" s="51" t="n">
        <x:f>Members!B615</x:f>
        <x:v>46115</x:v>
      </x:c>
      <x:c r="C615" s="50" t="str">
        <x:f>Members!C615</x:f>
        <x:v>Direct</x:v>
      </x:c>
      <x:c r="D615" s="50" t="n">
        <x:f>IF($B615&lt;='Scorecard'!$B$3-7,1,0)</x:f>
        <x:v>1</x:v>
      </x:c>
      <x:c r="E615" s="50" t="n">
        <x:f>IF(COUNTIFS(Events!$B$4:$B$1456,$A615,Events!$C$4:$C$1456,"coach_contact_completed",Events!$D$4:$D$1456,"&gt;="&amp;($B615+0),Events!$D$4:$D$1456,"&lt;="&amp;($B615+7))&gt;0,1,0)</x:f>
        <x:v>1</x:v>
      </x:c>
      <x:c r="F615" s="50" t="n">
        <x:f>IF($B615&lt;='Scorecard'!$B$3-37,1,0)</x:f>
        <x:v>1</x:v>
      </x:c>
      <x:c r="G615" s="50" t="n">
        <x:f>IF(COUNTIFS(Events!$B$4:$B$1456,$A615,Events!$C$4:$C$1456,"day30_checkin_completed",Events!$D$4:$D$1456,"&gt;="&amp;($B615+28),Events!$D$4:$D$1456,"&lt;="&amp;($B615+37))&gt;0,1,0)</x:f>
        <x:v>1</x:v>
      </x:c>
      <x:c r="H615" s="50" t="n">
        <x:f>IF($B615&lt;='Scorecard'!$B$3-74,1,0)</x:f>
        <x:v>1</x:v>
      </x:c>
      <x:c r="I615" s="50" t="n">
        <x:f>IF(COUNTIFS(Events!$B$4:$B$1456,$A615,Events!$C$4:$C$1456,"day60_activity_observed",Events!$D$4:$D$1456,"&gt;="&amp;($B615+60),Events!$D$4:$D$1456,"&lt;="&amp;($B615+74))&gt;0,1,0)</x:f>
        <x:v>1</x:v>
      </x:c>
    </x:row>
    <x:row r="616">
      <x:c r="A616" s="50" t="str">
        <x:f>Members!A616</x:f>
        <x:v>SYN0613</x:v>
      </x:c>
      <x:c r="B616" s="51" t="n">
        <x:f>Members!B616</x:f>
        <x:v>46049</x:v>
      </x:c>
      <x:c r="C616" s="50" t="str">
        <x:f>Members!C616</x:f>
        <x:v>Direct</x:v>
      </x:c>
      <x:c r="D616" s="50" t="n">
        <x:f>IF($B616&lt;='Scorecard'!$B$3-7,1,0)</x:f>
        <x:v>1</x:v>
      </x:c>
      <x:c r="E616" s="50" t="n">
        <x:f>IF(COUNTIFS(Events!$B$4:$B$1456,$A616,Events!$C$4:$C$1456,"coach_contact_completed",Events!$D$4:$D$1456,"&gt;="&amp;($B616+0),Events!$D$4:$D$1456,"&lt;="&amp;($B616+7))&gt;0,1,0)</x:f>
        <x:v>0</x:v>
      </x:c>
      <x:c r="F616" s="50" t="n">
        <x:f>IF($B616&lt;='Scorecard'!$B$3-37,1,0)</x:f>
        <x:v>1</x:v>
      </x:c>
      <x:c r="G616" s="50" t="n">
        <x:f>IF(COUNTIFS(Events!$B$4:$B$1456,$A616,Events!$C$4:$C$1456,"day30_checkin_completed",Events!$D$4:$D$1456,"&gt;="&amp;($B616+28),Events!$D$4:$D$1456,"&lt;="&amp;($B616+37))&gt;0,1,0)</x:f>
        <x:v>0</x:v>
      </x:c>
      <x:c r="H616" s="50" t="n">
        <x:f>IF($B616&lt;='Scorecard'!$B$3-74,1,0)</x:f>
        <x:v>1</x:v>
      </x:c>
      <x:c r="I616" s="50" t="n">
        <x:f>IF(COUNTIFS(Events!$B$4:$B$1456,$A616,Events!$C$4:$C$1456,"day60_activity_observed",Events!$D$4:$D$1456,"&gt;="&amp;($B616+60),Events!$D$4:$D$1456,"&lt;="&amp;($B616+74))&gt;0,1,0)</x:f>
        <x:v>1</x:v>
      </x:c>
    </x:row>
    <x:row r="617">
      <x:c r="A617" s="50" t="str">
        <x:f>Members!A617</x:f>
        <x:v>SYN0614</x:v>
      </x:c>
      <x:c r="B617" s="51" t="n">
        <x:f>Members!B617</x:f>
        <x:v>46036</x:v>
      </x:c>
      <x:c r="C617" s="50" t="str">
        <x:f>Members!C617</x:f>
        <x:v>Employer</x:v>
      </x:c>
      <x:c r="D617" s="50" t="n">
        <x:f>IF($B617&lt;='Scorecard'!$B$3-7,1,0)</x:f>
        <x:v>1</x:v>
      </x:c>
      <x:c r="E617" s="50" t="n">
        <x:f>IF(COUNTIFS(Events!$B$4:$B$1456,$A617,Events!$C$4:$C$1456,"coach_contact_completed",Events!$D$4:$D$1456,"&gt;="&amp;($B617+0),Events!$D$4:$D$1456,"&lt;="&amp;($B617+7))&gt;0,1,0)</x:f>
        <x:v>0</x:v>
      </x:c>
      <x:c r="F617" s="50" t="n">
        <x:f>IF($B617&lt;='Scorecard'!$B$3-37,1,0)</x:f>
        <x:v>1</x:v>
      </x:c>
      <x:c r="G617" s="50" t="n">
        <x:f>IF(COUNTIFS(Events!$B$4:$B$1456,$A617,Events!$C$4:$C$1456,"day30_checkin_completed",Events!$D$4:$D$1456,"&gt;="&amp;($B617+28),Events!$D$4:$D$1456,"&lt;="&amp;($B617+37))&gt;0,1,0)</x:f>
        <x:v>1</x:v>
      </x:c>
      <x:c r="H617" s="50" t="n">
        <x:f>IF($B617&lt;='Scorecard'!$B$3-74,1,0)</x:f>
        <x:v>1</x:v>
      </x:c>
      <x:c r="I617" s="50" t="n">
        <x:f>IF(COUNTIFS(Events!$B$4:$B$1456,$A617,Events!$C$4:$C$1456,"day60_activity_observed",Events!$D$4:$D$1456,"&gt;="&amp;($B617+60),Events!$D$4:$D$1456,"&lt;="&amp;($B617+74))&gt;0,1,0)</x:f>
        <x:v>1</x:v>
      </x:c>
    </x:row>
    <x:row r="618">
      <x:c r="A618" s="50" t="str">
        <x:f>Members!A618</x:f>
        <x:v>SYN0615</x:v>
      </x:c>
      <x:c r="B618" s="51" t="n">
        <x:f>Members!B618</x:f>
        <x:v>46165</x:v>
      </x:c>
      <x:c r="C618" s="50" t="str">
        <x:f>Members!C618</x:f>
        <x:v>Employer</x:v>
      </x:c>
      <x:c r="D618" s="50" t="n">
        <x:f>IF($B618&lt;='Scorecard'!$B$3-7,1,0)</x:f>
        <x:v>1</x:v>
      </x:c>
      <x:c r="E618" s="50" t="n">
        <x:f>IF(COUNTIFS(Events!$B$4:$B$1456,$A618,Events!$C$4:$C$1456,"coach_contact_completed",Events!$D$4:$D$1456,"&gt;="&amp;($B618+0),Events!$D$4:$D$1456,"&lt;="&amp;($B618+7))&gt;0,1,0)</x:f>
        <x:v>0</x:v>
      </x:c>
      <x:c r="F618" s="50" t="n">
        <x:f>IF($B618&lt;='Scorecard'!$B$3-37,1,0)</x:f>
        <x:v>1</x:v>
      </x:c>
      <x:c r="G618" s="50" t="n">
        <x:f>IF(COUNTIFS(Events!$B$4:$B$1456,$A618,Events!$C$4:$C$1456,"day30_checkin_completed",Events!$D$4:$D$1456,"&gt;="&amp;($B618+28),Events!$D$4:$D$1456,"&lt;="&amp;($B618+37))&gt;0,1,0)</x:f>
        <x:v>1</x:v>
      </x:c>
      <x:c r="H618" s="50" t="n">
        <x:f>IF($B618&lt;='Scorecard'!$B$3-74,1,0)</x:f>
        <x:v>1</x:v>
      </x:c>
      <x:c r="I618" s="50" t="n">
        <x:f>IF(COUNTIFS(Events!$B$4:$B$1456,$A618,Events!$C$4:$C$1456,"day60_activity_observed",Events!$D$4:$D$1456,"&gt;="&amp;($B618+60),Events!$D$4:$D$1456,"&lt;="&amp;($B618+74))&gt;0,1,0)</x:f>
        <x:v>1</x:v>
      </x:c>
    </x:row>
    <x:row r="619">
      <x:c r="A619" s="50" t="str">
        <x:f>Members!A619</x:f>
        <x:v>SYN0616</x:v>
      </x:c>
      <x:c r="B619" s="51" t="n">
        <x:f>Members!B619</x:f>
        <x:v>46148</x:v>
      </x:c>
      <x:c r="C619" s="50" t="str">
        <x:f>Members!C619</x:f>
        <x:v>Direct</x:v>
      </x:c>
      <x:c r="D619" s="50" t="n">
        <x:f>IF($B619&lt;='Scorecard'!$B$3-7,1,0)</x:f>
        <x:v>1</x:v>
      </x:c>
      <x:c r="E619" s="50" t="n">
        <x:f>IF(COUNTIFS(Events!$B$4:$B$1456,$A619,Events!$C$4:$C$1456,"coach_contact_completed",Events!$D$4:$D$1456,"&gt;="&amp;($B619+0),Events!$D$4:$D$1456,"&lt;="&amp;($B619+7))&gt;0,1,0)</x:f>
        <x:v>1</x:v>
      </x:c>
      <x:c r="F619" s="50" t="n">
        <x:f>IF($B619&lt;='Scorecard'!$B$3-37,1,0)</x:f>
        <x:v>1</x:v>
      </x:c>
      <x:c r="G619" s="50" t="n">
        <x:f>IF(COUNTIFS(Events!$B$4:$B$1456,$A619,Events!$C$4:$C$1456,"day30_checkin_completed",Events!$D$4:$D$1456,"&gt;="&amp;($B619+28),Events!$D$4:$D$1456,"&lt;="&amp;($B619+37))&gt;0,1,0)</x:f>
        <x:v>1</x:v>
      </x:c>
      <x:c r="H619" s="50" t="n">
        <x:f>IF($B619&lt;='Scorecard'!$B$3-74,1,0)</x:f>
        <x:v>1</x:v>
      </x:c>
      <x:c r="I619" s="50" t="n">
        <x:f>IF(COUNTIFS(Events!$B$4:$B$1456,$A619,Events!$C$4:$C$1456,"day60_activity_observed",Events!$D$4:$D$1456,"&gt;="&amp;($B619+60),Events!$D$4:$D$1456,"&lt;="&amp;($B619+74))&gt;0,1,0)</x:f>
        <x:v>1</x:v>
      </x:c>
    </x:row>
    <x:row r="620">
      <x:c r="A620" s="50" t="str">
        <x:f>Members!A620</x:f>
        <x:v>SYN0617</x:v>
      </x:c>
      <x:c r="B620" s="51" t="n">
        <x:f>Members!B620</x:f>
        <x:v>46100</x:v>
      </x:c>
      <x:c r="C620" s="50" t="str">
        <x:f>Members!C620</x:f>
        <x:v>Direct</x:v>
      </x:c>
      <x:c r="D620" s="50" t="n">
        <x:f>IF($B620&lt;='Scorecard'!$B$3-7,1,0)</x:f>
        <x:v>1</x:v>
      </x:c>
      <x:c r="E620" s="50" t="n">
        <x:f>IF(COUNTIFS(Events!$B$4:$B$1456,$A620,Events!$C$4:$C$1456,"coach_contact_completed",Events!$D$4:$D$1456,"&gt;="&amp;($B620+0),Events!$D$4:$D$1456,"&lt;="&amp;($B620+7))&gt;0,1,0)</x:f>
        <x:v>0</x:v>
      </x:c>
      <x:c r="F620" s="50" t="n">
        <x:f>IF($B620&lt;='Scorecard'!$B$3-37,1,0)</x:f>
        <x:v>1</x:v>
      </x:c>
      <x:c r="G620" s="50" t="n">
        <x:f>IF(COUNTIFS(Events!$B$4:$B$1456,$A620,Events!$C$4:$C$1456,"day30_checkin_completed",Events!$D$4:$D$1456,"&gt;="&amp;($B620+28),Events!$D$4:$D$1456,"&lt;="&amp;($B620+37))&gt;0,1,0)</x:f>
        <x:v>0</x:v>
      </x:c>
      <x:c r="H620" s="50" t="n">
        <x:f>IF($B620&lt;='Scorecard'!$B$3-74,1,0)</x:f>
        <x:v>1</x:v>
      </x:c>
      <x:c r="I620" s="50" t="n">
        <x:f>IF(COUNTIFS(Events!$B$4:$B$1456,$A620,Events!$C$4:$C$1456,"day60_activity_observed",Events!$D$4:$D$1456,"&gt;="&amp;($B620+60),Events!$D$4:$D$1456,"&lt;="&amp;($B620+74))&gt;0,1,0)</x:f>
        <x:v>1</x:v>
      </x:c>
    </x:row>
    <x:row r="621">
      <x:c r="A621" s="50" t="str">
        <x:f>Members!A621</x:f>
        <x:v>SYN0618</x:v>
      </x:c>
      <x:c r="B621" s="51" t="n">
        <x:f>Members!B621</x:f>
        <x:v>46212</x:v>
      </x:c>
      <x:c r="C621" s="50" t="str">
        <x:f>Members!C621</x:f>
        <x:v>Employer</x:v>
      </x:c>
      <x:c r="D621" s="50" t="n">
        <x:f>IF($B621&lt;='Scorecard'!$B$3-7,1,0)</x:f>
        <x:v>1</x:v>
      </x:c>
      <x:c r="E621" s="50" t="n">
        <x:f>IF(COUNTIFS(Events!$B$4:$B$1456,$A621,Events!$C$4:$C$1456,"coach_contact_completed",Events!$D$4:$D$1456,"&gt;="&amp;($B621+0),Events!$D$4:$D$1456,"&lt;="&amp;($B621+7))&gt;0,1,0)</x:f>
        <x:v>0</x:v>
      </x:c>
      <x:c r="F621" s="50" t="n">
        <x:f>IF($B621&lt;='Scorecard'!$B$3-37,1,0)</x:f>
        <x:v>1</x:v>
      </x:c>
      <x:c r="G621" s="50" t="n">
        <x:f>IF(COUNTIFS(Events!$B$4:$B$1456,$A621,Events!$C$4:$C$1456,"day30_checkin_completed",Events!$D$4:$D$1456,"&gt;="&amp;($B621+28),Events!$D$4:$D$1456,"&lt;="&amp;($B621+37))&gt;0,1,0)</x:f>
        <x:v>1</x:v>
      </x:c>
      <x:c r="H621" s="50" t="n">
        <x:f>IF($B621&lt;='Scorecard'!$B$3-74,1,0)</x:f>
        <x:v>1</x:v>
      </x:c>
      <x:c r="I621" s="50" t="n">
        <x:f>IF(COUNTIFS(Events!$B$4:$B$1456,$A621,Events!$C$4:$C$1456,"day60_activity_observed",Events!$D$4:$D$1456,"&gt;="&amp;($B621+60),Events!$D$4:$D$1456,"&lt;="&amp;($B621+74))&gt;0,1,0)</x:f>
        <x:v>1</x:v>
      </x:c>
    </x:row>
    <x:row r="622">
      <x:c r="A622" s="50" t="str">
        <x:f>Members!A622</x:f>
        <x:v>SYN0619</x:v>
      </x:c>
      <x:c r="B622" s="51" t="n">
        <x:f>Members!B622</x:f>
        <x:v>46053</x:v>
      </x:c>
      <x:c r="C622" s="50" t="str">
        <x:f>Members!C622</x:f>
        <x:v>Direct</x:v>
      </x:c>
      <x:c r="D622" s="50" t="n">
        <x:f>IF($B622&lt;='Scorecard'!$B$3-7,1,0)</x:f>
        <x:v>1</x:v>
      </x:c>
      <x:c r="E622" s="50" t="n">
        <x:f>IF(COUNTIFS(Events!$B$4:$B$1456,$A622,Events!$C$4:$C$1456,"coach_contact_completed",Events!$D$4:$D$1456,"&gt;="&amp;($B622+0),Events!$D$4:$D$1456,"&lt;="&amp;($B622+7))&gt;0,1,0)</x:f>
        <x:v>0</x:v>
      </x:c>
      <x:c r="F622" s="50" t="n">
        <x:f>IF($B622&lt;='Scorecard'!$B$3-37,1,0)</x:f>
        <x:v>1</x:v>
      </x:c>
      <x:c r="G622" s="50" t="n">
        <x:f>IF(COUNTIFS(Events!$B$4:$B$1456,$A622,Events!$C$4:$C$1456,"day30_checkin_completed",Events!$D$4:$D$1456,"&gt;="&amp;($B622+28),Events!$D$4:$D$1456,"&lt;="&amp;($B622+37))&gt;0,1,0)</x:f>
        <x:v>1</x:v>
      </x:c>
      <x:c r="H622" s="50" t="n">
        <x:f>IF($B622&lt;='Scorecard'!$B$3-74,1,0)</x:f>
        <x:v>1</x:v>
      </x:c>
      <x:c r="I622" s="50" t="n">
        <x:f>IF(COUNTIFS(Events!$B$4:$B$1456,$A622,Events!$C$4:$C$1456,"day60_activity_observed",Events!$D$4:$D$1456,"&gt;="&amp;($B622+60),Events!$D$4:$D$1456,"&lt;="&amp;($B622+74))&gt;0,1,0)</x:f>
        <x:v>1</x:v>
      </x:c>
    </x:row>
    <x:row r="623">
      <x:c r="A623" s="50" t="str">
        <x:f>Members!A623</x:f>
        <x:v>SYN0620</x:v>
      </x:c>
      <x:c r="B623" s="51" t="n">
        <x:f>Members!B623</x:f>
        <x:v>46185</x:v>
      </x:c>
      <x:c r="C623" s="50" t="str">
        <x:f>Members!C623</x:f>
        <x:v>Employer</x:v>
      </x:c>
      <x:c r="D623" s="50" t="n">
        <x:f>IF($B623&lt;='Scorecard'!$B$3-7,1,0)</x:f>
        <x:v>1</x:v>
      </x:c>
      <x:c r="E623" s="50" t="n">
        <x:f>IF(COUNTIFS(Events!$B$4:$B$1456,$A623,Events!$C$4:$C$1456,"coach_contact_completed",Events!$D$4:$D$1456,"&gt;="&amp;($B623+0),Events!$D$4:$D$1456,"&lt;="&amp;($B623+7))&gt;0,1,0)</x:f>
        <x:v>0</x:v>
      </x:c>
      <x:c r="F623" s="50" t="n">
        <x:f>IF($B623&lt;='Scorecard'!$B$3-37,1,0)</x:f>
        <x:v>1</x:v>
      </x:c>
      <x:c r="G623" s="50" t="n">
        <x:f>IF(COUNTIFS(Events!$B$4:$B$1456,$A623,Events!$C$4:$C$1456,"day30_checkin_completed",Events!$D$4:$D$1456,"&gt;="&amp;($B623+28),Events!$D$4:$D$1456,"&lt;="&amp;($B623+37))&gt;0,1,0)</x:f>
        <x:v>1</x:v>
      </x:c>
      <x:c r="H623" s="50" t="n">
        <x:f>IF($B623&lt;='Scorecard'!$B$3-74,1,0)</x:f>
        <x:v>1</x:v>
      </x:c>
      <x:c r="I623" s="50" t="n">
        <x:f>IF(COUNTIFS(Events!$B$4:$B$1456,$A623,Events!$C$4:$C$1456,"day60_activity_observed",Events!$D$4:$D$1456,"&gt;="&amp;($B623+60),Events!$D$4:$D$1456,"&lt;="&amp;($B623+74))&gt;0,1,0)</x:f>
        <x:v>1</x:v>
      </x:c>
    </x:row>
    <x:row r="624">
      <x:c r="A624" s="50" t="str">
        <x:f>Members!A624</x:f>
        <x:v>SYN0621</x:v>
      </x:c>
      <x:c r="B624" s="51" t="n">
        <x:f>Members!B624</x:f>
        <x:v>46232</x:v>
      </x:c>
      <x:c r="C624" s="50" t="str">
        <x:f>Members!C624</x:f>
        <x:v>Direct</x:v>
      </x:c>
      <x:c r="D624" s="50" t="n">
        <x:f>IF($B624&lt;='Scorecard'!$B$3-7,1,0)</x:f>
        <x:v>1</x:v>
      </x:c>
      <x:c r="E624" s="50" t="n">
        <x:f>IF(COUNTIFS(Events!$B$4:$B$1456,$A624,Events!$C$4:$C$1456,"coach_contact_completed",Events!$D$4:$D$1456,"&gt;="&amp;($B624+0),Events!$D$4:$D$1456,"&lt;="&amp;($B624+7))&gt;0,1,0)</x:f>
        <x:v>1</x:v>
      </x:c>
      <x:c r="F624" s="50" t="n">
        <x:f>IF($B624&lt;='Scorecard'!$B$3-37,1,0)</x:f>
        <x:v>1</x:v>
      </x:c>
      <x:c r="G624" s="50" t="n">
        <x:f>IF(COUNTIFS(Events!$B$4:$B$1456,$A624,Events!$C$4:$C$1456,"day30_checkin_completed",Events!$D$4:$D$1456,"&gt;="&amp;($B624+28),Events!$D$4:$D$1456,"&lt;="&amp;($B624+37))&gt;0,1,0)</x:f>
        <x:v>0</x:v>
      </x:c>
      <x:c r="H624" s="50" t="n">
        <x:f>IF($B624&lt;='Scorecard'!$B$3-74,1,0)</x:f>
        <x:v>0</x:v>
      </x:c>
      <x:c r="I624" s="50" t="n">
        <x:f>IF(COUNTIFS(Events!$B$4:$B$1456,$A624,Events!$C$4:$C$1456,"day60_activity_observed",Events!$D$4:$D$1456,"&gt;="&amp;($B624+60),Events!$D$4:$D$1456,"&lt;="&amp;($B624+74))&gt;0,1,0)</x:f>
        <x:v>0</x:v>
      </x:c>
    </x:row>
    <x:row r="625">
      <x:c r="A625" s="50" t="str">
        <x:f>Members!A625</x:f>
        <x:v>SYN0622</x:v>
      </x:c>
      <x:c r="B625" s="51" t="n">
        <x:f>Members!B625</x:f>
        <x:v>46097</x:v>
      </x:c>
      <x:c r="C625" s="50" t="str">
        <x:f>Members!C625</x:f>
        <x:v>Direct</x:v>
      </x:c>
      <x:c r="D625" s="50" t="n">
        <x:f>IF($B625&lt;='Scorecard'!$B$3-7,1,0)</x:f>
        <x:v>1</x:v>
      </x:c>
      <x:c r="E625" s="50" t="n">
        <x:f>IF(COUNTIFS(Events!$B$4:$B$1456,$A625,Events!$C$4:$C$1456,"coach_contact_completed",Events!$D$4:$D$1456,"&gt;="&amp;($B625+0),Events!$D$4:$D$1456,"&lt;="&amp;($B625+7))&gt;0,1,0)</x:f>
        <x:v>1</x:v>
      </x:c>
      <x:c r="F625" s="50" t="n">
        <x:f>IF($B625&lt;='Scorecard'!$B$3-37,1,0)</x:f>
        <x:v>1</x:v>
      </x:c>
      <x:c r="G625" s="50" t="n">
        <x:f>IF(COUNTIFS(Events!$B$4:$B$1456,$A625,Events!$C$4:$C$1456,"day30_checkin_completed",Events!$D$4:$D$1456,"&gt;="&amp;($B625+28),Events!$D$4:$D$1456,"&lt;="&amp;($B625+37))&gt;0,1,0)</x:f>
        <x:v>1</x:v>
      </x:c>
      <x:c r="H625" s="50" t="n">
        <x:f>IF($B625&lt;='Scorecard'!$B$3-74,1,0)</x:f>
        <x:v>1</x:v>
      </x:c>
      <x:c r="I625" s="50" t="n">
        <x:f>IF(COUNTIFS(Events!$B$4:$B$1456,$A625,Events!$C$4:$C$1456,"day60_activity_observed",Events!$D$4:$D$1456,"&gt;="&amp;($B625+60),Events!$D$4:$D$1456,"&lt;="&amp;($B625+74))&gt;0,1,0)</x:f>
        <x:v>0</x:v>
      </x:c>
    </x:row>
    <x:row r="626">
      <x:c r="A626" s="50" t="str">
        <x:f>Members!A626</x:f>
        <x:v>SYN0623</x:v>
      </x:c>
      <x:c r="B626" s="51" t="n">
        <x:f>Members!B626</x:f>
        <x:v>46031</x:v>
      </x:c>
      <x:c r="C626" s="50" t="str">
        <x:f>Members!C626</x:f>
        <x:v>Direct</x:v>
      </x:c>
      <x:c r="D626" s="50" t="n">
        <x:f>IF($B626&lt;='Scorecard'!$B$3-7,1,0)</x:f>
        <x:v>1</x:v>
      </x:c>
      <x:c r="E626" s="50" t="n">
        <x:f>IF(COUNTIFS(Events!$B$4:$B$1456,$A626,Events!$C$4:$C$1456,"coach_contact_completed",Events!$D$4:$D$1456,"&gt;="&amp;($B626+0),Events!$D$4:$D$1456,"&lt;="&amp;($B626+7))&gt;0,1,0)</x:f>
        <x:v>1</x:v>
      </x:c>
      <x:c r="F626" s="50" t="n">
        <x:f>IF($B626&lt;='Scorecard'!$B$3-37,1,0)</x:f>
        <x:v>1</x:v>
      </x:c>
      <x:c r="G626" s="50" t="n">
        <x:f>IF(COUNTIFS(Events!$B$4:$B$1456,$A626,Events!$C$4:$C$1456,"day30_checkin_completed",Events!$D$4:$D$1456,"&gt;="&amp;($B626+28),Events!$D$4:$D$1456,"&lt;="&amp;($B626+37))&gt;0,1,0)</x:f>
        <x:v>1</x:v>
      </x:c>
      <x:c r="H626" s="50" t="n">
        <x:f>IF($B626&lt;='Scorecard'!$B$3-74,1,0)</x:f>
        <x:v>1</x:v>
      </x:c>
      <x:c r="I626" s="50" t="n">
        <x:f>IF(COUNTIFS(Events!$B$4:$B$1456,$A626,Events!$C$4:$C$1456,"day60_activity_observed",Events!$D$4:$D$1456,"&gt;="&amp;($B626+60),Events!$D$4:$D$1456,"&lt;="&amp;($B626+74))&gt;0,1,0)</x:f>
        <x:v>1</x:v>
      </x:c>
    </x:row>
    <x:row r="627">
      <x:c r="A627" s="50" t="str">
        <x:f>Members!A627</x:f>
        <x:v>SYN0624</x:v>
      </x:c>
      <x:c r="B627" s="51" t="n">
        <x:f>Members!B627</x:f>
        <x:v>46137</x:v>
      </x:c>
      <x:c r="C627" s="50" t="str">
        <x:f>Members!C627</x:f>
        <x:v>Direct</x:v>
      </x:c>
      <x:c r="D627" s="50" t="n">
        <x:f>IF($B627&lt;='Scorecard'!$B$3-7,1,0)</x:f>
        <x:v>1</x:v>
      </x:c>
      <x:c r="E627" s="50" t="n">
        <x:f>IF(COUNTIFS(Events!$B$4:$B$1456,$A627,Events!$C$4:$C$1456,"coach_contact_completed",Events!$D$4:$D$1456,"&gt;="&amp;($B627+0),Events!$D$4:$D$1456,"&lt;="&amp;($B627+7))&gt;0,1,0)</x:f>
        <x:v>1</x:v>
      </x:c>
      <x:c r="F627" s="50" t="n">
        <x:f>IF($B627&lt;='Scorecard'!$B$3-37,1,0)</x:f>
        <x:v>1</x:v>
      </x:c>
      <x:c r="G627" s="50" t="n">
        <x:f>IF(COUNTIFS(Events!$B$4:$B$1456,$A627,Events!$C$4:$C$1456,"day30_checkin_completed",Events!$D$4:$D$1456,"&gt;="&amp;($B627+28),Events!$D$4:$D$1456,"&lt;="&amp;($B627+37))&gt;0,1,0)</x:f>
        <x:v>1</x:v>
      </x:c>
      <x:c r="H627" s="50" t="n">
        <x:f>IF($B627&lt;='Scorecard'!$B$3-74,1,0)</x:f>
        <x:v>1</x:v>
      </x:c>
      <x:c r="I627" s="50" t="n">
        <x:f>IF(COUNTIFS(Events!$B$4:$B$1456,$A627,Events!$C$4:$C$1456,"day60_activity_observed",Events!$D$4:$D$1456,"&gt;="&amp;($B627+60),Events!$D$4:$D$1456,"&lt;="&amp;($B627+74))&gt;0,1,0)</x:f>
        <x:v>1</x:v>
      </x:c>
    </x:row>
    <x:row r="628">
      <x:c r="A628" s="50" t="str">
        <x:f>Members!A628</x:f>
        <x:v>SYN0625</x:v>
      </x:c>
      <x:c r="B628" s="51" t="n">
        <x:f>Members!B628</x:f>
        <x:v>46029</x:v>
      </x:c>
      <x:c r="C628" s="50" t="str">
        <x:f>Members!C628</x:f>
        <x:v>Direct</x:v>
      </x:c>
      <x:c r="D628" s="50" t="n">
        <x:f>IF($B628&lt;='Scorecard'!$B$3-7,1,0)</x:f>
        <x:v>1</x:v>
      </x:c>
      <x:c r="E628" s="50" t="n">
        <x:f>IF(COUNTIFS(Events!$B$4:$B$1456,$A628,Events!$C$4:$C$1456,"coach_contact_completed",Events!$D$4:$D$1456,"&gt;="&amp;($B628+0),Events!$D$4:$D$1456,"&lt;="&amp;($B628+7))&gt;0,1,0)</x:f>
        <x:v>0</x:v>
      </x:c>
      <x:c r="F628" s="50" t="n">
        <x:f>IF($B628&lt;='Scorecard'!$B$3-37,1,0)</x:f>
        <x:v>1</x:v>
      </x:c>
      <x:c r="G628" s="50" t="n">
        <x:f>IF(COUNTIFS(Events!$B$4:$B$1456,$A628,Events!$C$4:$C$1456,"day30_checkin_completed",Events!$D$4:$D$1456,"&gt;="&amp;($B628+28),Events!$D$4:$D$1456,"&lt;="&amp;($B628+37))&gt;0,1,0)</x:f>
        <x:v>0</x:v>
      </x:c>
      <x:c r="H628" s="50" t="n">
        <x:f>IF($B628&lt;='Scorecard'!$B$3-74,1,0)</x:f>
        <x:v>1</x:v>
      </x:c>
      <x:c r="I628" s="50" t="n">
        <x:f>IF(COUNTIFS(Events!$B$4:$B$1456,$A628,Events!$C$4:$C$1456,"day60_activity_observed",Events!$D$4:$D$1456,"&gt;="&amp;($B628+60),Events!$D$4:$D$1456,"&lt;="&amp;($B628+74))&gt;0,1,0)</x:f>
        <x:v>1</x:v>
      </x:c>
    </x:row>
    <x:row r="629">
      <x:c r="A629" s="50" t="str">
        <x:f>Members!A629</x:f>
        <x:v>SYN0626</x:v>
      </x:c>
      <x:c r="B629" s="51" t="n">
        <x:f>Members!B629</x:f>
        <x:v>46178</x:v>
      </x:c>
      <x:c r="C629" s="50" t="str">
        <x:f>Members!C629</x:f>
        <x:v>Direct</x:v>
      </x:c>
      <x:c r="D629" s="50" t="n">
        <x:f>IF($B629&lt;='Scorecard'!$B$3-7,1,0)</x:f>
        <x:v>1</x:v>
      </x:c>
      <x:c r="E629" s="50" t="n">
        <x:f>IF(COUNTIFS(Events!$B$4:$B$1456,$A629,Events!$C$4:$C$1456,"coach_contact_completed",Events!$D$4:$D$1456,"&gt;="&amp;($B629+0),Events!$D$4:$D$1456,"&lt;="&amp;($B629+7))&gt;0,1,0)</x:f>
        <x:v>1</x:v>
      </x:c>
      <x:c r="F629" s="50" t="n">
        <x:f>IF($B629&lt;='Scorecard'!$B$3-37,1,0)</x:f>
        <x:v>1</x:v>
      </x:c>
      <x:c r="G629" s="50" t="n">
        <x:f>IF(COUNTIFS(Events!$B$4:$B$1456,$A629,Events!$C$4:$C$1456,"day30_checkin_completed",Events!$D$4:$D$1456,"&gt;="&amp;($B629+28),Events!$D$4:$D$1456,"&lt;="&amp;($B629+37))&gt;0,1,0)</x:f>
        <x:v>1</x:v>
      </x:c>
      <x:c r="H629" s="50" t="n">
        <x:f>IF($B629&lt;='Scorecard'!$B$3-74,1,0)</x:f>
        <x:v>1</x:v>
      </x:c>
      <x:c r="I629" s="50" t="n">
        <x:f>IF(COUNTIFS(Events!$B$4:$B$1456,$A629,Events!$C$4:$C$1456,"day60_activity_observed",Events!$D$4:$D$1456,"&gt;="&amp;($B629+60),Events!$D$4:$D$1456,"&lt;="&amp;($B629+74))&gt;0,1,0)</x:f>
        <x:v>0</x:v>
      </x:c>
    </x:row>
    <x:row r="630">
      <x:c r="A630" s="50" t="str">
        <x:f>Members!A630</x:f>
        <x:v>SYN0627</x:v>
      </x:c>
      <x:c r="B630" s="51" t="n">
        <x:f>Members!B630</x:f>
        <x:v>46119</x:v>
      </x:c>
      <x:c r="C630" s="50" t="str">
        <x:f>Members!C630</x:f>
        <x:v>Employer</x:v>
      </x:c>
      <x:c r="D630" s="50" t="n">
        <x:f>IF($B630&lt;='Scorecard'!$B$3-7,1,0)</x:f>
        <x:v>1</x:v>
      </x:c>
      <x:c r="E630" s="50" t="n">
        <x:f>IF(COUNTIFS(Events!$B$4:$B$1456,$A630,Events!$C$4:$C$1456,"coach_contact_completed",Events!$D$4:$D$1456,"&gt;="&amp;($B630+0),Events!$D$4:$D$1456,"&lt;="&amp;($B630+7))&gt;0,1,0)</x:f>
        <x:v>1</x:v>
      </x:c>
      <x:c r="F630" s="50" t="n">
        <x:f>IF($B630&lt;='Scorecard'!$B$3-37,1,0)</x:f>
        <x:v>1</x:v>
      </x:c>
      <x:c r="G630" s="50" t="n">
        <x:f>IF(COUNTIFS(Events!$B$4:$B$1456,$A630,Events!$C$4:$C$1456,"day30_checkin_completed",Events!$D$4:$D$1456,"&gt;="&amp;($B630+28),Events!$D$4:$D$1456,"&lt;="&amp;($B630+37))&gt;0,1,0)</x:f>
        <x:v>1</x:v>
      </x:c>
      <x:c r="H630" s="50" t="n">
        <x:f>IF($B630&lt;='Scorecard'!$B$3-74,1,0)</x:f>
        <x:v>1</x:v>
      </x:c>
      <x:c r="I630" s="50" t="n">
        <x:f>IF(COUNTIFS(Events!$B$4:$B$1456,$A630,Events!$C$4:$C$1456,"day60_activity_observed",Events!$D$4:$D$1456,"&gt;="&amp;($B630+60),Events!$D$4:$D$1456,"&lt;="&amp;($B630+74))&gt;0,1,0)</x:f>
        <x:v>1</x:v>
      </x:c>
    </x:row>
    <x:row r="631">
      <x:c r="A631" s="50" t="str">
        <x:f>Members!A631</x:f>
        <x:v>SYN0628</x:v>
      </x:c>
      <x:c r="B631" s="51" t="n">
        <x:f>Members!B631</x:f>
        <x:v>46070</x:v>
      </x:c>
      <x:c r="C631" s="50" t="str">
        <x:f>Members!C631</x:f>
        <x:v>Direct</x:v>
      </x:c>
      <x:c r="D631" s="50" t="n">
        <x:f>IF($B631&lt;='Scorecard'!$B$3-7,1,0)</x:f>
        <x:v>1</x:v>
      </x:c>
      <x:c r="E631" s="50" t="n">
        <x:f>IF(COUNTIFS(Events!$B$4:$B$1456,$A631,Events!$C$4:$C$1456,"coach_contact_completed",Events!$D$4:$D$1456,"&gt;="&amp;($B631+0),Events!$D$4:$D$1456,"&lt;="&amp;($B631+7))&gt;0,1,0)</x:f>
        <x:v>1</x:v>
      </x:c>
      <x:c r="F631" s="50" t="n">
        <x:f>IF($B631&lt;='Scorecard'!$B$3-37,1,0)</x:f>
        <x:v>1</x:v>
      </x:c>
      <x:c r="G631" s="50" t="n">
        <x:f>IF(COUNTIFS(Events!$B$4:$B$1456,$A631,Events!$C$4:$C$1456,"day30_checkin_completed",Events!$D$4:$D$1456,"&gt;="&amp;($B631+28),Events!$D$4:$D$1456,"&lt;="&amp;($B631+37))&gt;0,1,0)</x:f>
        <x:v>1</x:v>
      </x:c>
      <x:c r="H631" s="50" t="n">
        <x:f>IF($B631&lt;='Scorecard'!$B$3-74,1,0)</x:f>
        <x:v>1</x:v>
      </x:c>
      <x:c r="I631" s="50" t="n">
        <x:f>IF(COUNTIFS(Events!$B$4:$B$1456,$A631,Events!$C$4:$C$1456,"day60_activity_observed",Events!$D$4:$D$1456,"&gt;="&amp;($B631+60),Events!$D$4:$D$1456,"&lt;="&amp;($B631+74))&gt;0,1,0)</x:f>
        <x:v>0</x:v>
      </x:c>
    </x:row>
    <x:row r="632">
      <x:c r="A632" s="50" t="str">
        <x:f>Members!A632</x:f>
        <x:v>SYN0629</x:v>
      </x:c>
      <x:c r="B632" s="51" t="n">
        <x:f>Members!B632</x:f>
        <x:v>46058</x:v>
      </x:c>
      <x:c r="C632" s="50" t="str">
        <x:f>Members!C632</x:f>
        <x:v>Direct</x:v>
      </x:c>
      <x:c r="D632" s="50" t="n">
        <x:f>IF($B632&lt;='Scorecard'!$B$3-7,1,0)</x:f>
        <x:v>1</x:v>
      </x:c>
      <x:c r="E632" s="50" t="n">
        <x:f>IF(COUNTIFS(Events!$B$4:$B$1456,$A632,Events!$C$4:$C$1456,"coach_contact_completed",Events!$D$4:$D$1456,"&gt;="&amp;($B632+0),Events!$D$4:$D$1456,"&lt;="&amp;($B632+7))&gt;0,1,0)</x:f>
        <x:v>1</x:v>
      </x:c>
      <x:c r="F632" s="50" t="n">
        <x:f>IF($B632&lt;='Scorecard'!$B$3-37,1,0)</x:f>
        <x:v>1</x:v>
      </x:c>
      <x:c r="G632" s="50" t="n">
        <x:f>IF(COUNTIFS(Events!$B$4:$B$1456,$A632,Events!$C$4:$C$1456,"day30_checkin_completed",Events!$D$4:$D$1456,"&gt;="&amp;($B632+28),Events!$D$4:$D$1456,"&lt;="&amp;($B632+37))&gt;0,1,0)</x:f>
        <x:v>0</x:v>
      </x:c>
      <x:c r="H632" s="50" t="n">
        <x:f>IF($B632&lt;='Scorecard'!$B$3-74,1,0)</x:f>
        <x:v>1</x:v>
      </x:c>
      <x:c r="I632" s="50" t="n">
        <x:f>IF(COUNTIFS(Events!$B$4:$B$1456,$A632,Events!$C$4:$C$1456,"day60_activity_observed",Events!$D$4:$D$1456,"&gt;="&amp;($B632+60),Events!$D$4:$D$1456,"&lt;="&amp;($B632+74))&gt;0,1,0)</x:f>
        <x:v>0</x:v>
      </x:c>
    </x:row>
    <x:row r="633">
      <x:c r="A633" s="50" t="str">
        <x:f>Members!A633</x:f>
        <x:v>SYN0630</x:v>
      </x:c>
      <x:c r="B633" s="51" t="n">
        <x:f>Members!B633</x:f>
        <x:v>46152</x:v>
      </x:c>
      <x:c r="C633" s="50" t="str">
        <x:f>Members!C633</x:f>
        <x:v>Employer</x:v>
      </x:c>
      <x:c r="D633" s="50" t="n">
        <x:f>IF($B633&lt;='Scorecard'!$B$3-7,1,0)</x:f>
        <x:v>1</x:v>
      </x:c>
      <x:c r="E633" s="50" t="n">
        <x:f>IF(COUNTIFS(Events!$B$4:$B$1456,$A633,Events!$C$4:$C$1456,"coach_contact_completed",Events!$D$4:$D$1456,"&gt;="&amp;($B633+0),Events!$D$4:$D$1456,"&lt;="&amp;($B633+7))&gt;0,1,0)</x:f>
        <x:v>1</x:v>
      </x:c>
      <x:c r="F633" s="50" t="n">
        <x:f>IF($B633&lt;='Scorecard'!$B$3-37,1,0)</x:f>
        <x:v>1</x:v>
      </x:c>
      <x:c r="G633" s="50" t="n">
        <x:f>IF(COUNTIFS(Events!$B$4:$B$1456,$A633,Events!$C$4:$C$1456,"day30_checkin_completed",Events!$D$4:$D$1456,"&gt;="&amp;($B633+28),Events!$D$4:$D$1456,"&lt;="&amp;($B633+37))&gt;0,1,0)</x:f>
        <x:v>1</x:v>
      </x:c>
      <x:c r="H633" s="50" t="n">
        <x:f>IF($B633&lt;='Scorecard'!$B$3-74,1,0)</x:f>
        <x:v>1</x:v>
      </x:c>
      <x:c r="I633" s="50" t="n">
        <x:f>IF(COUNTIFS(Events!$B$4:$B$1456,$A633,Events!$C$4:$C$1456,"day60_activity_observed",Events!$D$4:$D$1456,"&gt;="&amp;($B633+60),Events!$D$4:$D$1456,"&lt;="&amp;($B633+74))&gt;0,1,0)</x:f>
        <x:v>1</x:v>
      </x:c>
    </x:row>
    <x:row r="634">
      <x:c r="A634" s="50" t="str">
        <x:f>Members!A634</x:f>
        <x:v>SYN0631</x:v>
      </x:c>
      <x:c r="B634" s="51" t="n">
        <x:f>Members!B634</x:f>
        <x:v>46211</x:v>
      </x:c>
      <x:c r="C634" s="50" t="str">
        <x:f>Members!C634</x:f>
        <x:v>Direct</x:v>
      </x:c>
      <x:c r="D634" s="50" t="n">
        <x:f>IF($B634&lt;='Scorecard'!$B$3-7,1,0)</x:f>
        <x:v>1</x:v>
      </x:c>
      <x:c r="E634" s="50" t="n">
        <x:f>IF(COUNTIFS(Events!$B$4:$B$1456,$A634,Events!$C$4:$C$1456,"coach_contact_completed",Events!$D$4:$D$1456,"&gt;="&amp;($B634+0),Events!$D$4:$D$1456,"&lt;="&amp;($B634+7))&gt;0,1,0)</x:f>
        <x:v>1</x:v>
      </x:c>
      <x:c r="F634" s="50" t="n">
        <x:f>IF($B634&lt;='Scorecard'!$B$3-37,1,0)</x:f>
        <x:v>1</x:v>
      </x:c>
      <x:c r="G634" s="50" t="n">
        <x:f>IF(COUNTIFS(Events!$B$4:$B$1456,$A634,Events!$C$4:$C$1456,"day30_checkin_completed",Events!$D$4:$D$1456,"&gt;="&amp;($B634+28),Events!$D$4:$D$1456,"&lt;="&amp;($B634+37))&gt;0,1,0)</x:f>
        <x:v>1</x:v>
      </x:c>
      <x:c r="H634" s="50" t="n">
        <x:f>IF($B634&lt;='Scorecard'!$B$3-74,1,0)</x:f>
        <x:v>1</x:v>
      </x:c>
      <x:c r="I634" s="50" t="n">
        <x:f>IF(COUNTIFS(Events!$B$4:$B$1456,$A634,Events!$C$4:$C$1456,"day60_activity_observed",Events!$D$4:$D$1456,"&gt;="&amp;($B634+60),Events!$D$4:$D$1456,"&lt;="&amp;($B634+74))&gt;0,1,0)</x:f>
        <x:v>1</x:v>
      </x:c>
    </x:row>
    <x:row r="635">
      <x:c r="A635" s="50" t="str">
        <x:f>Members!A635</x:f>
        <x:v>SYN0632</x:v>
      </x:c>
      <x:c r="B635" s="51" t="n">
        <x:f>Members!B635</x:f>
        <x:v>46064</x:v>
      </x:c>
      <x:c r="C635" s="50" t="str">
        <x:f>Members!C635</x:f>
        <x:v>Employer</x:v>
      </x:c>
      <x:c r="D635" s="50" t="n">
        <x:f>IF($B635&lt;='Scorecard'!$B$3-7,1,0)</x:f>
        <x:v>1</x:v>
      </x:c>
      <x:c r="E635" s="50" t="n">
        <x:f>IF(COUNTIFS(Events!$B$4:$B$1456,$A635,Events!$C$4:$C$1456,"coach_contact_completed",Events!$D$4:$D$1456,"&gt;="&amp;($B635+0),Events!$D$4:$D$1456,"&lt;="&amp;($B635+7))&gt;0,1,0)</x:f>
        <x:v>1</x:v>
      </x:c>
      <x:c r="F635" s="50" t="n">
        <x:f>IF($B635&lt;='Scorecard'!$B$3-37,1,0)</x:f>
        <x:v>1</x:v>
      </x:c>
      <x:c r="G635" s="50" t="n">
        <x:f>IF(COUNTIFS(Events!$B$4:$B$1456,$A635,Events!$C$4:$C$1456,"day30_checkin_completed",Events!$D$4:$D$1456,"&gt;="&amp;($B635+28),Events!$D$4:$D$1456,"&lt;="&amp;($B635+37))&gt;0,1,0)</x:f>
        <x:v>1</x:v>
      </x:c>
      <x:c r="H635" s="50" t="n">
        <x:f>IF($B635&lt;='Scorecard'!$B$3-74,1,0)</x:f>
        <x:v>1</x:v>
      </x:c>
      <x:c r="I635" s="50" t="n">
        <x:f>IF(COUNTIFS(Events!$B$4:$B$1456,$A635,Events!$C$4:$C$1456,"day60_activity_observed",Events!$D$4:$D$1456,"&gt;="&amp;($B635+60),Events!$D$4:$D$1456,"&lt;="&amp;($B635+74))&gt;0,1,0)</x:f>
        <x:v>1</x:v>
      </x:c>
    </x:row>
    <x:row r="636">
      <x:c r="A636" s="50" t="str">
        <x:f>Members!A636</x:f>
        <x:v>SYN0633</x:v>
      </x:c>
      <x:c r="B636" s="51" t="n">
        <x:f>Members!B636</x:f>
        <x:v>46210</x:v>
      </x:c>
      <x:c r="C636" s="50" t="str">
        <x:f>Members!C636</x:f>
        <x:v>Direct</x:v>
      </x:c>
      <x:c r="D636" s="50" t="n">
        <x:f>IF($B636&lt;='Scorecard'!$B$3-7,1,0)</x:f>
        <x:v>1</x:v>
      </x:c>
      <x:c r="E636" s="50" t="n">
        <x:f>IF(COUNTIFS(Events!$B$4:$B$1456,$A636,Events!$C$4:$C$1456,"coach_contact_completed",Events!$D$4:$D$1456,"&gt;="&amp;($B636+0),Events!$D$4:$D$1456,"&lt;="&amp;($B636+7))&gt;0,1,0)</x:f>
        <x:v>1</x:v>
      </x:c>
      <x:c r="F636" s="50" t="n">
        <x:f>IF($B636&lt;='Scorecard'!$B$3-37,1,0)</x:f>
        <x:v>1</x:v>
      </x:c>
      <x:c r="G636" s="50" t="n">
        <x:f>IF(COUNTIFS(Events!$B$4:$B$1456,$A636,Events!$C$4:$C$1456,"day30_checkin_completed",Events!$D$4:$D$1456,"&gt;="&amp;($B636+28),Events!$D$4:$D$1456,"&lt;="&amp;($B636+37))&gt;0,1,0)</x:f>
        <x:v>1</x:v>
      </x:c>
      <x:c r="H636" s="50" t="n">
        <x:f>IF($B636&lt;='Scorecard'!$B$3-74,1,0)</x:f>
        <x:v>1</x:v>
      </x:c>
      <x:c r="I636" s="50" t="n">
        <x:f>IF(COUNTIFS(Events!$B$4:$B$1456,$A636,Events!$C$4:$C$1456,"day60_activity_observed",Events!$D$4:$D$1456,"&gt;="&amp;($B636+60),Events!$D$4:$D$1456,"&lt;="&amp;($B636+74))&gt;0,1,0)</x:f>
        <x:v>1</x:v>
      </x:c>
    </x:row>
    <x:row r="637">
      <x:c r="A637" s="50" t="str">
        <x:f>Members!A637</x:f>
        <x:v>SYN0634</x:v>
      </x:c>
      <x:c r="B637" s="51" t="n">
        <x:f>Members!B637</x:f>
        <x:v>46033</x:v>
      </x:c>
      <x:c r="C637" s="50" t="str">
        <x:f>Members!C637</x:f>
        <x:v>Employer</x:v>
      </x:c>
      <x:c r="D637" s="50" t="n">
        <x:f>IF($B637&lt;='Scorecard'!$B$3-7,1,0)</x:f>
        <x:v>1</x:v>
      </x:c>
      <x:c r="E637" s="50" t="n">
        <x:f>IF(COUNTIFS(Events!$B$4:$B$1456,$A637,Events!$C$4:$C$1456,"coach_contact_completed",Events!$D$4:$D$1456,"&gt;="&amp;($B637+0),Events!$D$4:$D$1456,"&lt;="&amp;($B637+7))&gt;0,1,0)</x:f>
        <x:v>1</x:v>
      </x:c>
      <x:c r="F637" s="50" t="n">
        <x:f>IF($B637&lt;='Scorecard'!$B$3-37,1,0)</x:f>
        <x:v>1</x:v>
      </x:c>
      <x:c r="G637" s="50" t="n">
        <x:f>IF(COUNTIFS(Events!$B$4:$B$1456,$A637,Events!$C$4:$C$1456,"day30_checkin_completed",Events!$D$4:$D$1456,"&gt;="&amp;($B637+28),Events!$D$4:$D$1456,"&lt;="&amp;($B637+37))&gt;0,1,0)</x:f>
        <x:v>1</x:v>
      </x:c>
      <x:c r="H637" s="50" t="n">
        <x:f>IF($B637&lt;='Scorecard'!$B$3-74,1,0)</x:f>
        <x:v>1</x:v>
      </x:c>
      <x:c r="I637" s="50" t="n">
        <x:f>IF(COUNTIFS(Events!$B$4:$B$1456,$A637,Events!$C$4:$C$1456,"day60_activity_observed",Events!$D$4:$D$1456,"&gt;="&amp;($B637+60),Events!$D$4:$D$1456,"&lt;="&amp;($B637+74))&gt;0,1,0)</x:f>
        <x:v>1</x:v>
      </x:c>
    </x:row>
    <x:row r="638">
      <x:c r="A638" s="50" t="str">
        <x:f>Members!A638</x:f>
        <x:v>SYN0635</x:v>
      </x:c>
      <x:c r="B638" s="51" t="n">
        <x:f>Members!B638</x:f>
        <x:v>46089</x:v>
      </x:c>
      <x:c r="C638" s="50" t="str">
        <x:f>Members!C638</x:f>
        <x:v>Employer</x:v>
      </x:c>
      <x:c r="D638" s="50" t="n">
        <x:f>IF($B638&lt;='Scorecard'!$B$3-7,1,0)</x:f>
        <x:v>1</x:v>
      </x:c>
      <x:c r="E638" s="50" t="n">
        <x:f>IF(COUNTIFS(Events!$B$4:$B$1456,$A638,Events!$C$4:$C$1456,"coach_contact_completed",Events!$D$4:$D$1456,"&gt;="&amp;($B638+0),Events!$D$4:$D$1456,"&lt;="&amp;($B638+7))&gt;0,1,0)</x:f>
        <x:v>1</x:v>
      </x:c>
      <x:c r="F638" s="50" t="n">
        <x:f>IF($B638&lt;='Scorecard'!$B$3-37,1,0)</x:f>
        <x:v>1</x:v>
      </x:c>
      <x:c r="G638" s="50" t="n">
        <x:f>IF(COUNTIFS(Events!$B$4:$B$1456,$A638,Events!$C$4:$C$1456,"day30_checkin_completed",Events!$D$4:$D$1456,"&gt;="&amp;($B638+28),Events!$D$4:$D$1456,"&lt;="&amp;($B638+37))&gt;0,1,0)</x:f>
        <x:v>1</x:v>
      </x:c>
      <x:c r="H638" s="50" t="n">
        <x:f>IF($B638&lt;='Scorecard'!$B$3-74,1,0)</x:f>
        <x:v>1</x:v>
      </x:c>
      <x:c r="I638" s="50" t="n">
        <x:f>IF(COUNTIFS(Events!$B$4:$B$1456,$A638,Events!$C$4:$C$1456,"day60_activity_observed",Events!$D$4:$D$1456,"&gt;="&amp;($B638+60),Events!$D$4:$D$1456,"&lt;="&amp;($B638+74))&gt;0,1,0)</x:f>
        <x:v>1</x:v>
      </x:c>
    </x:row>
    <x:row r="639">
      <x:c r="A639" s="50" t="str">
        <x:f>Members!A639</x:f>
        <x:v>SYN0636</x:v>
      </x:c>
      <x:c r="B639" s="51" t="n">
        <x:f>Members!B639</x:f>
        <x:v>46050</x:v>
      </x:c>
      <x:c r="C639" s="50" t="str">
        <x:f>Members!C639</x:f>
        <x:v>Direct</x:v>
      </x:c>
      <x:c r="D639" s="50" t="n">
        <x:f>IF($B639&lt;='Scorecard'!$B$3-7,1,0)</x:f>
        <x:v>1</x:v>
      </x:c>
      <x:c r="E639" s="50" t="n">
        <x:f>IF(COUNTIFS(Events!$B$4:$B$1456,$A639,Events!$C$4:$C$1456,"coach_contact_completed",Events!$D$4:$D$1456,"&gt;="&amp;($B639+0),Events!$D$4:$D$1456,"&lt;="&amp;($B639+7))&gt;0,1,0)</x:f>
        <x:v>0</x:v>
      </x:c>
      <x:c r="F639" s="50" t="n">
        <x:f>IF($B639&lt;='Scorecard'!$B$3-37,1,0)</x:f>
        <x:v>1</x:v>
      </x:c>
      <x:c r="G639" s="50" t="n">
        <x:f>IF(COUNTIFS(Events!$B$4:$B$1456,$A639,Events!$C$4:$C$1456,"day30_checkin_completed",Events!$D$4:$D$1456,"&gt;="&amp;($B639+28),Events!$D$4:$D$1456,"&lt;="&amp;($B639+37))&gt;0,1,0)</x:f>
        <x:v>1</x:v>
      </x:c>
      <x:c r="H639" s="50" t="n">
        <x:f>IF($B639&lt;='Scorecard'!$B$3-74,1,0)</x:f>
        <x:v>1</x:v>
      </x:c>
      <x:c r="I639" s="50" t="n">
        <x:f>IF(COUNTIFS(Events!$B$4:$B$1456,$A639,Events!$C$4:$C$1456,"day60_activity_observed",Events!$D$4:$D$1456,"&gt;="&amp;($B639+60),Events!$D$4:$D$1456,"&lt;="&amp;($B639+74))&gt;0,1,0)</x:f>
        <x:v>1</x:v>
      </x:c>
    </x:row>
    <x:row r="640">
      <x:c r="A640" s="50" t="str">
        <x:f>Members!A640</x:f>
        <x:v>SYN0637</x:v>
      </x:c>
      <x:c r="B640" s="51" t="n">
        <x:f>Members!B640</x:f>
        <x:v>46159</x:v>
      </x:c>
      <x:c r="C640" s="50" t="str">
        <x:f>Members!C640</x:f>
        <x:v>Direct</x:v>
      </x:c>
      <x:c r="D640" s="50" t="n">
        <x:f>IF($B640&lt;='Scorecard'!$B$3-7,1,0)</x:f>
        <x:v>1</x:v>
      </x:c>
      <x:c r="E640" s="50" t="n">
        <x:f>IF(COUNTIFS(Events!$B$4:$B$1456,$A640,Events!$C$4:$C$1456,"coach_contact_completed",Events!$D$4:$D$1456,"&gt;="&amp;($B640+0),Events!$D$4:$D$1456,"&lt;="&amp;($B640+7))&gt;0,1,0)</x:f>
        <x:v>0</x:v>
      </x:c>
      <x:c r="F640" s="50" t="n">
        <x:f>IF($B640&lt;='Scorecard'!$B$3-37,1,0)</x:f>
        <x:v>1</x:v>
      </x:c>
      <x:c r="G640" s="50" t="n">
        <x:f>IF(COUNTIFS(Events!$B$4:$B$1456,$A640,Events!$C$4:$C$1456,"day30_checkin_completed",Events!$D$4:$D$1456,"&gt;="&amp;($B640+28),Events!$D$4:$D$1456,"&lt;="&amp;($B640+37))&gt;0,1,0)</x:f>
        <x:v>1</x:v>
      </x:c>
      <x:c r="H640" s="50" t="n">
        <x:f>IF($B640&lt;='Scorecard'!$B$3-74,1,0)</x:f>
        <x:v>1</x:v>
      </x:c>
      <x:c r="I640" s="50" t="n">
        <x:f>IF(COUNTIFS(Events!$B$4:$B$1456,$A640,Events!$C$4:$C$1456,"day60_activity_observed",Events!$D$4:$D$1456,"&gt;="&amp;($B640+60),Events!$D$4:$D$1456,"&lt;="&amp;($B640+74))&gt;0,1,0)</x:f>
        <x:v>0</x:v>
      </x:c>
    </x:row>
    <x:row r="641">
      <x:c r="A641" s="50" t="str">
        <x:f>Members!A641</x:f>
        <x:v>SYN0638</x:v>
      </x:c>
      <x:c r="B641" s="51" t="n">
        <x:f>Members!B641</x:f>
        <x:v>46221</x:v>
      </x:c>
      <x:c r="C641" s="50" t="str">
        <x:f>Members!C641</x:f>
        <x:v>Direct</x:v>
      </x:c>
      <x:c r="D641" s="50" t="n">
        <x:f>IF($B641&lt;='Scorecard'!$B$3-7,1,0)</x:f>
        <x:v>1</x:v>
      </x:c>
      <x:c r="E641" s="50" t="n">
        <x:f>IF(COUNTIFS(Events!$B$4:$B$1456,$A641,Events!$C$4:$C$1456,"coach_contact_completed",Events!$D$4:$D$1456,"&gt;="&amp;($B641+0),Events!$D$4:$D$1456,"&lt;="&amp;($B641+7))&gt;0,1,0)</x:f>
        <x:v>1</x:v>
      </x:c>
      <x:c r="F641" s="50" t="n">
        <x:f>IF($B641&lt;='Scorecard'!$B$3-37,1,0)</x:f>
        <x:v>1</x:v>
      </x:c>
      <x:c r="G641" s="50" t="n">
        <x:f>IF(COUNTIFS(Events!$B$4:$B$1456,$A641,Events!$C$4:$C$1456,"day30_checkin_completed",Events!$D$4:$D$1456,"&gt;="&amp;($B641+28),Events!$D$4:$D$1456,"&lt;="&amp;($B641+37))&gt;0,1,0)</x:f>
        <x:v>1</x:v>
      </x:c>
      <x:c r="H641" s="50" t="n">
        <x:f>IF($B641&lt;='Scorecard'!$B$3-74,1,0)</x:f>
        <x:v>1</x:v>
      </x:c>
      <x:c r="I641" s="50" t="n">
        <x:f>IF(COUNTIFS(Events!$B$4:$B$1456,$A641,Events!$C$4:$C$1456,"day60_activity_observed",Events!$D$4:$D$1456,"&gt;="&amp;($B641+60),Events!$D$4:$D$1456,"&lt;="&amp;($B641+74))&gt;0,1,0)</x:f>
        <x:v>1</x:v>
      </x:c>
    </x:row>
    <x:row r="642">
      <x:c r="A642" s="50" t="str">
        <x:f>Members!A642</x:f>
        <x:v>SYN0639</x:v>
      </x:c>
      <x:c r="B642" s="51" t="n">
        <x:f>Members!B642</x:f>
        <x:v>46201</x:v>
      </x:c>
      <x:c r="C642" s="50" t="str">
        <x:f>Members!C642</x:f>
        <x:v>Employer</x:v>
      </x:c>
      <x:c r="D642" s="50" t="n">
        <x:f>IF($B642&lt;='Scorecard'!$B$3-7,1,0)</x:f>
        <x:v>1</x:v>
      </x:c>
      <x:c r="E642" s="50" t="n">
        <x:f>IF(COUNTIFS(Events!$B$4:$B$1456,$A642,Events!$C$4:$C$1456,"coach_contact_completed",Events!$D$4:$D$1456,"&gt;="&amp;($B642+0),Events!$D$4:$D$1456,"&lt;="&amp;($B642+7))&gt;0,1,0)</x:f>
        <x:v>1</x:v>
      </x:c>
      <x:c r="F642" s="50" t="n">
        <x:f>IF($B642&lt;='Scorecard'!$B$3-37,1,0)</x:f>
        <x:v>1</x:v>
      </x:c>
      <x:c r="G642" s="50" t="n">
        <x:f>IF(COUNTIFS(Events!$B$4:$B$1456,$A642,Events!$C$4:$C$1456,"day30_checkin_completed",Events!$D$4:$D$1456,"&gt;="&amp;($B642+28),Events!$D$4:$D$1456,"&lt;="&amp;($B642+37))&gt;0,1,0)</x:f>
        <x:v>0</x:v>
      </x:c>
      <x:c r="H642" s="50" t="n">
        <x:f>IF($B642&lt;='Scorecard'!$B$3-74,1,0)</x:f>
        <x:v>1</x:v>
      </x:c>
      <x:c r="I642" s="50" t="n">
        <x:f>IF(COUNTIFS(Events!$B$4:$B$1456,$A642,Events!$C$4:$C$1456,"day60_activity_observed",Events!$D$4:$D$1456,"&gt;="&amp;($B642+60),Events!$D$4:$D$1456,"&lt;="&amp;($B642+74))&gt;0,1,0)</x:f>
        <x:v>0</x:v>
      </x:c>
    </x:row>
    <x:row r="643">
      <x:c r="A643" s="50" t="str">
        <x:f>Members!A643</x:f>
        <x:v>SYN0640</x:v>
      </x:c>
      <x:c r="B643" s="51" t="n">
        <x:f>Members!B643</x:f>
        <x:v>46034</x:v>
      </x:c>
      <x:c r="C643" s="50" t="str">
        <x:f>Members!C643</x:f>
        <x:v>Direct</x:v>
      </x:c>
      <x:c r="D643" s="50" t="n">
        <x:f>IF($B643&lt;='Scorecard'!$B$3-7,1,0)</x:f>
        <x:v>1</x:v>
      </x:c>
      <x:c r="E643" s="50" t="n">
        <x:f>IF(COUNTIFS(Events!$B$4:$B$1456,$A643,Events!$C$4:$C$1456,"coach_contact_completed",Events!$D$4:$D$1456,"&gt;="&amp;($B643+0),Events!$D$4:$D$1456,"&lt;="&amp;($B643+7))&gt;0,1,0)</x:f>
        <x:v>0</x:v>
      </x:c>
      <x:c r="F643" s="50" t="n">
        <x:f>IF($B643&lt;='Scorecard'!$B$3-37,1,0)</x:f>
        <x:v>1</x:v>
      </x:c>
      <x:c r="G643" s="50" t="n">
        <x:f>IF(COUNTIFS(Events!$B$4:$B$1456,$A643,Events!$C$4:$C$1456,"day30_checkin_completed",Events!$D$4:$D$1456,"&gt;="&amp;($B643+28),Events!$D$4:$D$1456,"&lt;="&amp;($B643+37))&gt;0,1,0)</x:f>
        <x:v>1</x:v>
      </x:c>
      <x:c r="H643" s="50" t="n">
        <x:f>IF($B643&lt;='Scorecard'!$B$3-74,1,0)</x:f>
        <x:v>1</x:v>
      </x:c>
      <x:c r="I643" s="50" t="n">
        <x:f>IF(COUNTIFS(Events!$B$4:$B$1456,$A643,Events!$C$4:$C$1456,"day60_activity_observed",Events!$D$4:$D$1456,"&gt;="&amp;($B643+60),Events!$D$4:$D$1456,"&lt;="&amp;($B643+74))&gt;0,1,0)</x:f>
        <x:v>0</x:v>
      </x:c>
    </x:row>
    <x:row r="644">
      <x:c r="A644" s="50" t="str">
        <x:f>Members!A644</x:f>
        <x:v>SYN0641</x:v>
      </x:c>
      <x:c r="B644" s="51" t="n">
        <x:f>Members!B644</x:f>
        <x:v>46225</x:v>
      </x:c>
      <x:c r="C644" s="50" t="str">
        <x:f>Members!C644</x:f>
        <x:v>Direct</x:v>
      </x:c>
      <x:c r="D644" s="50" t="n">
        <x:f>IF($B644&lt;='Scorecard'!$B$3-7,1,0)</x:f>
        <x:v>1</x:v>
      </x:c>
      <x:c r="E644" s="50" t="n">
        <x:f>IF(COUNTIFS(Events!$B$4:$B$1456,$A644,Events!$C$4:$C$1456,"coach_contact_completed",Events!$D$4:$D$1456,"&gt;="&amp;($B644+0),Events!$D$4:$D$1456,"&lt;="&amp;($B644+7))&gt;0,1,0)</x:f>
        <x:v>1</x:v>
      </x:c>
      <x:c r="F644" s="50" t="n">
        <x:f>IF($B644&lt;='Scorecard'!$B$3-37,1,0)</x:f>
        <x:v>1</x:v>
      </x:c>
      <x:c r="G644" s="50" t="n">
        <x:f>IF(COUNTIFS(Events!$B$4:$B$1456,$A644,Events!$C$4:$C$1456,"day30_checkin_completed",Events!$D$4:$D$1456,"&gt;="&amp;($B644+28),Events!$D$4:$D$1456,"&lt;="&amp;($B644+37))&gt;0,1,0)</x:f>
        <x:v>1</x:v>
      </x:c>
      <x:c r="H644" s="50" t="n">
        <x:f>IF($B644&lt;='Scorecard'!$B$3-74,1,0)</x:f>
        <x:v>0</x:v>
      </x:c>
      <x:c r="I644" s="50" t="n">
        <x:f>IF(COUNTIFS(Events!$B$4:$B$1456,$A644,Events!$C$4:$C$1456,"day60_activity_observed",Events!$D$4:$D$1456,"&gt;="&amp;($B644+60),Events!$D$4:$D$1456,"&lt;="&amp;($B644+74))&gt;0,1,0)</x:f>
        <x:v>1</x:v>
      </x:c>
    </x:row>
    <x:row r="645">
      <x:c r="A645" s="50" t="str">
        <x:f>Members!A645</x:f>
        <x:v>SYN0642</x:v>
      </x:c>
      <x:c r="B645" s="51" t="n">
        <x:f>Members!B645</x:f>
        <x:v>46212</x:v>
      </x:c>
      <x:c r="C645" s="50" t="str">
        <x:f>Members!C645</x:f>
        <x:v>Direct</x:v>
      </x:c>
      <x:c r="D645" s="50" t="n">
        <x:f>IF($B645&lt;='Scorecard'!$B$3-7,1,0)</x:f>
        <x:v>1</x:v>
      </x:c>
      <x:c r="E645" s="50" t="n">
        <x:f>IF(COUNTIFS(Events!$B$4:$B$1456,$A645,Events!$C$4:$C$1456,"coach_contact_completed",Events!$D$4:$D$1456,"&gt;="&amp;($B645+0),Events!$D$4:$D$1456,"&lt;="&amp;($B645+7))&gt;0,1,0)</x:f>
        <x:v>0</x:v>
      </x:c>
      <x:c r="F645" s="50" t="n">
        <x:f>IF($B645&lt;='Scorecard'!$B$3-37,1,0)</x:f>
        <x:v>1</x:v>
      </x:c>
      <x:c r="G645" s="50" t="n">
        <x:f>IF(COUNTIFS(Events!$B$4:$B$1456,$A645,Events!$C$4:$C$1456,"day30_checkin_completed",Events!$D$4:$D$1456,"&gt;="&amp;($B645+28),Events!$D$4:$D$1456,"&lt;="&amp;($B645+37))&gt;0,1,0)</x:f>
        <x:v>0</x:v>
      </x:c>
      <x:c r="H645" s="50" t="n">
        <x:f>IF($B645&lt;='Scorecard'!$B$3-74,1,0)</x:f>
        <x:v>1</x:v>
      </x:c>
      <x:c r="I645" s="50" t="n">
        <x:f>IF(COUNTIFS(Events!$B$4:$B$1456,$A645,Events!$C$4:$C$1456,"day60_activity_observed",Events!$D$4:$D$1456,"&gt;="&amp;($B645+60),Events!$D$4:$D$1456,"&lt;="&amp;($B645+74))&gt;0,1,0)</x:f>
        <x:v>1</x:v>
      </x:c>
    </x:row>
    <x:row r="646">
      <x:c r="A646" s="50" t="str">
        <x:f>Members!A646</x:f>
        <x:v>SYN0643</x:v>
      </x:c>
      <x:c r="B646" s="51" t="n">
        <x:f>Members!B646</x:f>
        <x:v>46066</x:v>
      </x:c>
      <x:c r="C646" s="50" t="str">
        <x:f>Members!C646</x:f>
        <x:v>Direct</x:v>
      </x:c>
      <x:c r="D646" s="50" t="n">
        <x:f>IF($B646&lt;='Scorecard'!$B$3-7,1,0)</x:f>
        <x:v>1</x:v>
      </x:c>
      <x:c r="E646" s="50" t="n">
        <x:f>IF(COUNTIFS(Events!$B$4:$B$1456,$A646,Events!$C$4:$C$1456,"coach_contact_completed",Events!$D$4:$D$1456,"&gt;="&amp;($B646+0),Events!$D$4:$D$1456,"&lt;="&amp;($B646+7))&gt;0,1,0)</x:f>
        <x:v>1</x:v>
      </x:c>
      <x:c r="F646" s="50" t="n">
        <x:f>IF($B646&lt;='Scorecard'!$B$3-37,1,0)</x:f>
        <x:v>1</x:v>
      </x:c>
      <x:c r="G646" s="50" t="n">
        <x:f>IF(COUNTIFS(Events!$B$4:$B$1456,$A646,Events!$C$4:$C$1456,"day30_checkin_completed",Events!$D$4:$D$1456,"&gt;="&amp;($B646+28),Events!$D$4:$D$1456,"&lt;="&amp;($B646+37))&gt;0,1,0)</x:f>
        <x:v>1</x:v>
      </x:c>
      <x:c r="H646" s="50" t="n">
        <x:f>IF($B646&lt;='Scorecard'!$B$3-74,1,0)</x:f>
        <x:v>1</x:v>
      </x:c>
      <x:c r="I646" s="50" t="n">
        <x:f>IF(COUNTIFS(Events!$B$4:$B$1456,$A646,Events!$C$4:$C$1456,"day60_activity_observed",Events!$D$4:$D$1456,"&gt;="&amp;($B646+60),Events!$D$4:$D$1456,"&lt;="&amp;($B646+74))&gt;0,1,0)</x:f>
        <x:v>1</x:v>
      </x:c>
    </x:row>
    <x:row r="647">
      <x:c r="A647" s="50" t="str">
        <x:f>Members!A647</x:f>
        <x:v>SYN0644</x:v>
      </x:c>
      <x:c r="B647" s="51" t="n">
        <x:f>Members!B647</x:f>
        <x:v>46037</x:v>
      </x:c>
      <x:c r="C647" s="50" t="str">
        <x:f>Members!C647</x:f>
        <x:v>Direct</x:v>
      </x:c>
      <x:c r="D647" s="50" t="n">
        <x:f>IF($B647&lt;='Scorecard'!$B$3-7,1,0)</x:f>
        <x:v>1</x:v>
      </x:c>
      <x:c r="E647" s="50" t="n">
        <x:f>IF(COUNTIFS(Events!$B$4:$B$1456,$A647,Events!$C$4:$C$1456,"coach_contact_completed",Events!$D$4:$D$1456,"&gt;="&amp;($B647+0),Events!$D$4:$D$1456,"&lt;="&amp;($B647+7))&gt;0,1,0)</x:f>
        <x:v>1</x:v>
      </x:c>
      <x:c r="F647" s="50" t="n">
        <x:f>IF($B647&lt;='Scorecard'!$B$3-37,1,0)</x:f>
        <x:v>1</x:v>
      </x:c>
      <x:c r="G647" s="50" t="n">
        <x:f>IF(COUNTIFS(Events!$B$4:$B$1456,$A647,Events!$C$4:$C$1456,"day30_checkin_completed",Events!$D$4:$D$1456,"&gt;="&amp;($B647+28),Events!$D$4:$D$1456,"&lt;="&amp;($B647+37))&gt;0,1,0)</x:f>
        <x:v>1</x:v>
      </x:c>
      <x:c r="H647" s="50" t="n">
        <x:f>IF($B647&lt;='Scorecard'!$B$3-74,1,0)</x:f>
        <x:v>1</x:v>
      </x:c>
      <x:c r="I647" s="50" t="n">
        <x:f>IF(COUNTIFS(Events!$B$4:$B$1456,$A647,Events!$C$4:$C$1456,"day60_activity_observed",Events!$D$4:$D$1456,"&gt;="&amp;($B647+60),Events!$D$4:$D$1456,"&lt;="&amp;($B647+74))&gt;0,1,0)</x:f>
        <x:v>1</x:v>
      </x:c>
    </x:row>
    <x:row r="648">
      <x:c r="A648" s="50" t="str">
        <x:f>Members!A648</x:f>
        <x:v>SYN0645</x:v>
      </x:c>
      <x:c r="B648" s="51" t="n">
        <x:f>Members!B648</x:f>
        <x:v>46207</x:v>
      </x:c>
      <x:c r="C648" s="50" t="str">
        <x:f>Members!C648</x:f>
        <x:v>Employer</x:v>
      </x:c>
      <x:c r="D648" s="50" t="n">
        <x:f>IF($B648&lt;='Scorecard'!$B$3-7,1,0)</x:f>
        <x:v>1</x:v>
      </x:c>
      <x:c r="E648" s="50" t="n">
        <x:f>IF(COUNTIFS(Events!$B$4:$B$1456,$A648,Events!$C$4:$C$1456,"coach_contact_completed",Events!$D$4:$D$1456,"&gt;="&amp;($B648+0),Events!$D$4:$D$1456,"&lt;="&amp;($B648+7))&gt;0,1,0)</x:f>
        <x:v>1</x:v>
      </x:c>
      <x:c r="F648" s="50" t="n">
        <x:f>IF($B648&lt;='Scorecard'!$B$3-37,1,0)</x:f>
        <x:v>1</x:v>
      </x:c>
      <x:c r="G648" s="50" t="n">
        <x:f>IF(COUNTIFS(Events!$B$4:$B$1456,$A648,Events!$C$4:$C$1456,"day30_checkin_completed",Events!$D$4:$D$1456,"&gt;="&amp;($B648+28),Events!$D$4:$D$1456,"&lt;="&amp;($B648+37))&gt;0,1,0)</x:f>
        <x:v>1</x:v>
      </x:c>
      <x:c r="H648" s="50" t="n">
        <x:f>IF($B648&lt;='Scorecard'!$B$3-74,1,0)</x:f>
        <x:v>1</x:v>
      </x:c>
      <x:c r="I648" s="50" t="n">
        <x:f>IF(COUNTIFS(Events!$B$4:$B$1456,$A648,Events!$C$4:$C$1456,"day60_activity_observed",Events!$D$4:$D$1456,"&gt;="&amp;($B648+60),Events!$D$4:$D$1456,"&lt;="&amp;($B648+74))&gt;0,1,0)</x:f>
        <x:v>0</x:v>
      </x:c>
    </x:row>
    <x:row r="649">
      <x:c r="A649" s="50" t="str">
        <x:f>Members!A649</x:f>
        <x:v>SYN0646</x:v>
      </x:c>
      <x:c r="B649" s="51" t="n">
        <x:f>Members!B649</x:f>
        <x:v>46263</x:v>
      </x:c>
      <x:c r="C649" s="50" t="str">
        <x:f>Members!C649</x:f>
        <x:v>Direct</x:v>
      </x:c>
      <x:c r="D649" s="50" t="n">
        <x:f>IF($B649&lt;='Scorecard'!$B$3-7,1,0)</x:f>
        <x:v>1</x:v>
      </x:c>
      <x:c r="E649" s="50" t="n">
        <x:f>IF(COUNTIFS(Events!$B$4:$B$1456,$A649,Events!$C$4:$C$1456,"coach_contact_completed",Events!$D$4:$D$1456,"&gt;="&amp;($B649+0),Events!$D$4:$D$1456,"&lt;="&amp;($B649+7))&gt;0,1,0)</x:f>
        <x:v>1</x:v>
      </x:c>
      <x:c r="F649" s="50" t="n">
        <x:f>IF($B649&lt;='Scorecard'!$B$3-37,1,0)</x:f>
        <x:v>0</x:v>
      </x:c>
      <x:c r="G649" s="50" t="n">
        <x:f>IF(COUNTIFS(Events!$B$4:$B$1456,$A649,Events!$C$4:$C$1456,"day30_checkin_completed",Events!$D$4:$D$1456,"&gt;="&amp;($B649+28),Events!$D$4:$D$1456,"&lt;="&amp;($B649+37))&gt;0,1,0)</x:f>
        <x:v>1</x:v>
      </x:c>
      <x:c r="H649" s="50" t="n">
        <x:f>IF($B649&lt;='Scorecard'!$B$3-74,1,0)</x:f>
        <x:v>0</x:v>
      </x:c>
      <x:c r="I649" s="50" t="n">
        <x:f>IF(COUNTIFS(Events!$B$4:$B$1456,$A649,Events!$C$4:$C$1456,"day60_activity_observed",Events!$D$4:$D$1456,"&gt;="&amp;($B649+60),Events!$D$4:$D$1456,"&lt;="&amp;($B649+74))&gt;0,1,0)</x:f>
        <x:v>0</x:v>
      </x:c>
    </x:row>
    <x:row r="650">
      <x:c r="A650" s="50" t="str">
        <x:f>Members!A650</x:f>
        <x:v>SYN0647</x:v>
      </x:c>
      <x:c r="B650" s="51" t="n">
        <x:f>Members!B650</x:f>
        <x:v>46113</x:v>
      </x:c>
      <x:c r="C650" s="50" t="str">
        <x:f>Members!C650</x:f>
        <x:v>Employer</x:v>
      </x:c>
      <x:c r="D650" s="50" t="n">
        <x:f>IF($B650&lt;='Scorecard'!$B$3-7,1,0)</x:f>
        <x:v>1</x:v>
      </x:c>
      <x:c r="E650" s="50" t="n">
        <x:f>IF(COUNTIFS(Events!$B$4:$B$1456,$A650,Events!$C$4:$C$1456,"coach_contact_completed",Events!$D$4:$D$1456,"&gt;="&amp;($B650+0),Events!$D$4:$D$1456,"&lt;="&amp;($B650+7))&gt;0,1,0)</x:f>
        <x:v>1</x:v>
      </x:c>
      <x:c r="F650" s="50" t="n">
        <x:f>IF($B650&lt;='Scorecard'!$B$3-37,1,0)</x:f>
        <x:v>1</x:v>
      </x:c>
      <x:c r="G650" s="50" t="n">
        <x:f>IF(COUNTIFS(Events!$B$4:$B$1456,$A650,Events!$C$4:$C$1456,"day30_checkin_completed",Events!$D$4:$D$1456,"&gt;="&amp;($B650+28),Events!$D$4:$D$1456,"&lt;="&amp;($B650+37))&gt;0,1,0)</x:f>
        <x:v>0</x:v>
      </x:c>
      <x:c r="H650" s="50" t="n">
        <x:f>IF($B650&lt;='Scorecard'!$B$3-74,1,0)</x:f>
        <x:v>1</x:v>
      </x:c>
      <x:c r="I650" s="50" t="n">
        <x:f>IF(COUNTIFS(Events!$B$4:$B$1456,$A650,Events!$C$4:$C$1456,"day60_activity_observed",Events!$D$4:$D$1456,"&gt;="&amp;($B650+60),Events!$D$4:$D$1456,"&lt;="&amp;($B650+74))&gt;0,1,0)</x:f>
        <x:v>0</x:v>
      </x:c>
    </x:row>
    <x:row r="651">
      <x:c r="A651" s="50" t="str">
        <x:f>Members!A651</x:f>
        <x:v>SYN0648</x:v>
      </x:c>
      <x:c r="B651" s="51" t="n">
        <x:f>Members!B651</x:f>
        <x:v>46196</x:v>
      </x:c>
      <x:c r="C651" s="50" t="str">
        <x:f>Members!C651</x:f>
        <x:v>Direct</x:v>
      </x:c>
      <x:c r="D651" s="50" t="n">
        <x:f>IF($B651&lt;='Scorecard'!$B$3-7,1,0)</x:f>
        <x:v>1</x:v>
      </x:c>
      <x:c r="E651" s="50" t="n">
        <x:f>IF(COUNTIFS(Events!$B$4:$B$1456,$A651,Events!$C$4:$C$1456,"coach_contact_completed",Events!$D$4:$D$1456,"&gt;="&amp;($B651+0),Events!$D$4:$D$1456,"&lt;="&amp;($B651+7))&gt;0,1,0)</x:f>
        <x:v>1</x:v>
      </x:c>
      <x:c r="F651" s="50" t="n">
        <x:f>IF($B651&lt;='Scorecard'!$B$3-37,1,0)</x:f>
        <x:v>1</x:v>
      </x:c>
      <x:c r="G651" s="50" t="n">
        <x:f>IF(COUNTIFS(Events!$B$4:$B$1456,$A651,Events!$C$4:$C$1456,"day30_checkin_completed",Events!$D$4:$D$1456,"&gt;="&amp;($B651+28),Events!$D$4:$D$1456,"&lt;="&amp;($B651+37))&gt;0,1,0)</x:f>
        <x:v>1</x:v>
      </x:c>
      <x:c r="H651" s="50" t="n">
        <x:f>IF($B651&lt;='Scorecard'!$B$3-74,1,0)</x:f>
        <x:v>1</x:v>
      </x:c>
      <x:c r="I651" s="50" t="n">
        <x:f>IF(COUNTIFS(Events!$B$4:$B$1456,$A651,Events!$C$4:$C$1456,"day60_activity_observed",Events!$D$4:$D$1456,"&gt;="&amp;($B651+60),Events!$D$4:$D$1456,"&lt;="&amp;($B651+74))&gt;0,1,0)</x:f>
        <x:v>0</x:v>
      </x:c>
    </x:row>
    <x:row r="652">
      <x:c r="A652" s="50" t="str">
        <x:f>Members!A652</x:f>
        <x:v>SYN0649</x:v>
      </x:c>
      <x:c r="B652" s="51" t="n">
        <x:f>Members!B652</x:f>
        <x:v>46077</x:v>
      </x:c>
      <x:c r="C652" s="50" t="str">
        <x:f>Members!C652</x:f>
        <x:v>Direct</x:v>
      </x:c>
      <x:c r="D652" s="50" t="n">
        <x:f>IF($B652&lt;='Scorecard'!$B$3-7,1,0)</x:f>
        <x:v>1</x:v>
      </x:c>
      <x:c r="E652" s="50" t="n">
        <x:f>IF(COUNTIFS(Events!$B$4:$B$1456,$A652,Events!$C$4:$C$1456,"coach_contact_completed",Events!$D$4:$D$1456,"&gt;="&amp;($B652+0),Events!$D$4:$D$1456,"&lt;="&amp;($B652+7))&gt;0,1,0)</x:f>
        <x:v>1</x:v>
      </x:c>
      <x:c r="F652" s="50" t="n">
        <x:f>IF($B652&lt;='Scorecard'!$B$3-37,1,0)</x:f>
        <x:v>1</x:v>
      </x:c>
      <x:c r="G652" s="50" t="n">
        <x:f>IF(COUNTIFS(Events!$B$4:$B$1456,$A652,Events!$C$4:$C$1456,"day30_checkin_completed",Events!$D$4:$D$1456,"&gt;="&amp;($B652+28),Events!$D$4:$D$1456,"&lt;="&amp;($B652+37))&gt;0,1,0)</x:f>
        <x:v>1</x:v>
      </x:c>
      <x:c r="H652" s="50" t="n">
        <x:f>IF($B652&lt;='Scorecard'!$B$3-74,1,0)</x:f>
        <x:v>1</x:v>
      </x:c>
      <x:c r="I652" s="50" t="n">
        <x:f>IF(COUNTIFS(Events!$B$4:$B$1456,$A652,Events!$C$4:$C$1456,"day60_activity_observed",Events!$D$4:$D$1456,"&gt;="&amp;($B652+60),Events!$D$4:$D$1456,"&lt;="&amp;($B652+74))&gt;0,1,0)</x:f>
        <x:v>0</x:v>
      </x:c>
    </x:row>
    <x:row r="653">
      <x:c r="A653" s="50" t="str">
        <x:f>Members!A653</x:f>
        <x:v>SYN0650</x:v>
      </x:c>
      <x:c r="B653" s="51" t="n">
        <x:f>Members!B653</x:f>
        <x:v>46071</x:v>
      </x:c>
      <x:c r="C653" s="50" t="str">
        <x:f>Members!C653</x:f>
        <x:v>Direct</x:v>
      </x:c>
      <x:c r="D653" s="50" t="n">
        <x:f>IF($B653&lt;='Scorecard'!$B$3-7,1,0)</x:f>
        <x:v>1</x:v>
      </x:c>
      <x:c r="E653" s="50" t="n">
        <x:f>IF(COUNTIFS(Events!$B$4:$B$1456,$A653,Events!$C$4:$C$1456,"coach_contact_completed",Events!$D$4:$D$1456,"&gt;="&amp;($B653+0),Events!$D$4:$D$1456,"&lt;="&amp;($B653+7))&gt;0,1,0)</x:f>
        <x:v>0</x:v>
      </x:c>
      <x:c r="F653" s="50" t="n">
        <x:f>IF($B653&lt;='Scorecard'!$B$3-37,1,0)</x:f>
        <x:v>1</x:v>
      </x:c>
      <x:c r="G653" s="50" t="n">
        <x:f>IF(COUNTIFS(Events!$B$4:$B$1456,$A653,Events!$C$4:$C$1456,"day30_checkin_completed",Events!$D$4:$D$1456,"&gt;="&amp;($B653+28),Events!$D$4:$D$1456,"&lt;="&amp;($B653+37))&gt;0,1,0)</x:f>
        <x:v>0</x:v>
      </x:c>
      <x:c r="H653" s="50" t="n">
        <x:f>IF($B653&lt;='Scorecard'!$B$3-74,1,0)</x:f>
        <x:v>1</x:v>
      </x:c>
      <x:c r="I653" s="50" t="n">
        <x:f>IF(COUNTIFS(Events!$B$4:$B$1456,$A653,Events!$C$4:$C$1456,"day60_activity_observed",Events!$D$4:$D$1456,"&gt;="&amp;($B653+60),Events!$D$4:$D$1456,"&lt;="&amp;($B653+74))&gt;0,1,0)</x:f>
        <x:v>1</x:v>
      </x:c>
    </x:row>
    <x:row r="654">
      <x:c r="A654" s="50" t="str">
        <x:f>Members!A654</x:f>
        <x:v>SYN0651</x:v>
      </x:c>
      <x:c r="B654" s="51" t="n">
        <x:f>Members!B654</x:f>
        <x:v>46080</x:v>
      </x:c>
      <x:c r="C654" s="50" t="str">
        <x:f>Members!C654</x:f>
        <x:v>Employer</x:v>
      </x:c>
      <x:c r="D654" s="50" t="n">
        <x:f>IF($B654&lt;='Scorecard'!$B$3-7,1,0)</x:f>
        <x:v>1</x:v>
      </x:c>
      <x:c r="E654" s="50" t="n">
        <x:f>IF(COUNTIFS(Events!$B$4:$B$1456,$A654,Events!$C$4:$C$1456,"coach_contact_completed",Events!$D$4:$D$1456,"&gt;="&amp;($B654+0),Events!$D$4:$D$1456,"&lt;="&amp;($B654+7))&gt;0,1,0)</x:f>
        <x:v>0</x:v>
      </x:c>
      <x:c r="F654" s="50" t="n">
        <x:f>IF($B654&lt;='Scorecard'!$B$3-37,1,0)</x:f>
        <x:v>1</x:v>
      </x:c>
      <x:c r="G654" s="50" t="n">
        <x:f>IF(COUNTIFS(Events!$B$4:$B$1456,$A654,Events!$C$4:$C$1456,"day30_checkin_completed",Events!$D$4:$D$1456,"&gt;="&amp;($B654+28),Events!$D$4:$D$1456,"&lt;="&amp;($B654+37))&gt;0,1,0)</x:f>
        <x:v>1</x:v>
      </x:c>
      <x:c r="H654" s="50" t="n">
        <x:f>IF($B654&lt;='Scorecard'!$B$3-74,1,0)</x:f>
        <x:v>1</x:v>
      </x:c>
      <x:c r="I654" s="50" t="n">
        <x:f>IF(COUNTIFS(Events!$B$4:$B$1456,$A654,Events!$C$4:$C$1456,"day60_activity_observed",Events!$D$4:$D$1456,"&gt;="&amp;($B654+60),Events!$D$4:$D$1456,"&lt;="&amp;($B654+74))&gt;0,1,0)</x:f>
        <x:v>0</x:v>
      </x:c>
    </x:row>
    <x:row r="655">
      <x:c r="A655" s="50" t="str">
        <x:f>Members!A655</x:f>
        <x:v>SYN0652</x:v>
      </x:c>
      <x:c r="B655" s="51" t="n">
        <x:f>Members!B655</x:f>
        <x:v>46232</x:v>
      </x:c>
      <x:c r="C655" s="50" t="str">
        <x:f>Members!C655</x:f>
        <x:v>Employer</x:v>
      </x:c>
      <x:c r="D655" s="50" t="n">
        <x:f>IF($B655&lt;='Scorecard'!$B$3-7,1,0)</x:f>
        <x:v>1</x:v>
      </x:c>
      <x:c r="E655" s="50" t="n">
        <x:f>IF(COUNTIFS(Events!$B$4:$B$1456,$A655,Events!$C$4:$C$1456,"coach_contact_completed",Events!$D$4:$D$1456,"&gt;="&amp;($B655+0),Events!$D$4:$D$1456,"&lt;="&amp;($B655+7))&gt;0,1,0)</x:f>
        <x:v>0</x:v>
      </x:c>
      <x:c r="F655" s="50" t="n">
        <x:f>IF($B655&lt;='Scorecard'!$B$3-37,1,0)</x:f>
        <x:v>1</x:v>
      </x:c>
      <x:c r="G655" s="50" t="n">
        <x:f>IF(COUNTIFS(Events!$B$4:$B$1456,$A655,Events!$C$4:$C$1456,"day30_checkin_completed",Events!$D$4:$D$1456,"&gt;="&amp;($B655+28),Events!$D$4:$D$1456,"&lt;="&amp;($B655+37))&gt;0,1,0)</x:f>
        <x:v>1</x:v>
      </x:c>
      <x:c r="H655" s="50" t="n">
        <x:f>IF($B655&lt;='Scorecard'!$B$3-74,1,0)</x:f>
        <x:v>0</x:v>
      </x:c>
      <x:c r="I655" s="50" t="n">
        <x:f>IF(COUNTIFS(Events!$B$4:$B$1456,$A655,Events!$C$4:$C$1456,"day60_activity_observed",Events!$D$4:$D$1456,"&gt;="&amp;($B655+60),Events!$D$4:$D$1456,"&lt;="&amp;($B655+74))&gt;0,1,0)</x:f>
        <x:v>0</x:v>
      </x:c>
    </x:row>
    <x:row r="656">
      <x:c r="A656" s="50" t="str">
        <x:f>Members!A656</x:f>
        <x:v>SYN0653</x:v>
      </x:c>
      <x:c r="B656" s="51" t="n">
        <x:f>Members!B656</x:f>
        <x:v>46170</x:v>
      </x:c>
      <x:c r="C656" s="50" t="str">
        <x:f>Members!C656</x:f>
        <x:v>Direct</x:v>
      </x:c>
      <x:c r="D656" s="50" t="n">
        <x:f>IF($B656&lt;='Scorecard'!$B$3-7,1,0)</x:f>
        <x:v>1</x:v>
      </x:c>
      <x:c r="E656" s="50" t="n">
        <x:f>IF(COUNTIFS(Events!$B$4:$B$1456,$A656,Events!$C$4:$C$1456,"coach_contact_completed",Events!$D$4:$D$1456,"&gt;="&amp;($B656+0),Events!$D$4:$D$1456,"&lt;="&amp;($B656+7))&gt;0,1,0)</x:f>
        <x:v>1</x:v>
      </x:c>
      <x:c r="F656" s="50" t="n">
        <x:f>IF($B656&lt;='Scorecard'!$B$3-37,1,0)</x:f>
        <x:v>1</x:v>
      </x:c>
      <x:c r="G656" s="50" t="n">
        <x:f>IF(COUNTIFS(Events!$B$4:$B$1456,$A656,Events!$C$4:$C$1456,"day30_checkin_completed",Events!$D$4:$D$1456,"&gt;="&amp;($B656+28),Events!$D$4:$D$1456,"&lt;="&amp;($B656+37))&gt;0,1,0)</x:f>
        <x:v>0</x:v>
      </x:c>
      <x:c r="H656" s="50" t="n">
        <x:f>IF($B656&lt;='Scorecard'!$B$3-74,1,0)</x:f>
        <x:v>1</x:v>
      </x:c>
      <x:c r="I656" s="50" t="n">
        <x:f>IF(COUNTIFS(Events!$B$4:$B$1456,$A656,Events!$C$4:$C$1456,"day60_activity_observed",Events!$D$4:$D$1456,"&gt;="&amp;($B656+60),Events!$D$4:$D$1456,"&lt;="&amp;($B656+74))&gt;0,1,0)</x:f>
        <x:v>1</x:v>
      </x:c>
    </x:row>
    <x:row r="657">
      <x:c r="A657" s="50" t="str">
        <x:f>Members!A657</x:f>
        <x:v>SYN0654</x:v>
      </x:c>
      <x:c r="B657" s="51" t="n">
        <x:f>Members!B657</x:f>
        <x:v>46182</x:v>
      </x:c>
      <x:c r="C657" s="50" t="str">
        <x:f>Members!C657</x:f>
        <x:v>Direct</x:v>
      </x:c>
      <x:c r="D657" s="50" t="n">
        <x:f>IF($B657&lt;='Scorecard'!$B$3-7,1,0)</x:f>
        <x:v>1</x:v>
      </x:c>
      <x:c r="E657" s="50" t="n">
        <x:f>IF(COUNTIFS(Events!$B$4:$B$1456,$A657,Events!$C$4:$C$1456,"coach_contact_completed",Events!$D$4:$D$1456,"&gt;="&amp;($B657+0),Events!$D$4:$D$1456,"&lt;="&amp;($B657+7))&gt;0,1,0)</x:f>
        <x:v>1</x:v>
      </x:c>
      <x:c r="F657" s="50" t="n">
        <x:f>IF($B657&lt;='Scorecard'!$B$3-37,1,0)</x:f>
        <x:v>1</x:v>
      </x:c>
      <x:c r="G657" s="50" t="n">
        <x:f>IF(COUNTIFS(Events!$B$4:$B$1456,$A657,Events!$C$4:$C$1456,"day30_checkin_completed",Events!$D$4:$D$1456,"&gt;="&amp;($B657+28),Events!$D$4:$D$1456,"&lt;="&amp;($B657+37))&gt;0,1,0)</x:f>
        <x:v>1</x:v>
      </x:c>
      <x:c r="H657" s="50" t="n">
        <x:f>IF($B657&lt;='Scorecard'!$B$3-74,1,0)</x:f>
        <x:v>1</x:v>
      </x:c>
      <x:c r="I657" s="50" t="n">
        <x:f>IF(COUNTIFS(Events!$B$4:$B$1456,$A657,Events!$C$4:$C$1456,"day60_activity_observed",Events!$D$4:$D$1456,"&gt;="&amp;($B657+60),Events!$D$4:$D$1456,"&lt;="&amp;($B657+74))&gt;0,1,0)</x:f>
        <x:v>0</x:v>
      </x:c>
    </x:row>
    <x:row r="658">
      <x:c r="A658" s="50" t="str">
        <x:f>Members!A658</x:f>
        <x:v>SYN0655</x:v>
      </x:c>
      <x:c r="B658" s="51" t="n">
        <x:f>Members!B658</x:f>
        <x:v>46090</x:v>
      </x:c>
      <x:c r="C658" s="50" t="str">
        <x:f>Members!C658</x:f>
        <x:v>Direct</x:v>
      </x:c>
      <x:c r="D658" s="50" t="n">
        <x:f>IF($B658&lt;='Scorecard'!$B$3-7,1,0)</x:f>
        <x:v>1</x:v>
      </x:c>
      <x:c r="E658" s="50" t="n">
        <x:f>IF(COUNTIFS(Events!$B$4:$B$1456,$A658,Events!$C$4:$C$1456,"coach_contact_completed",Events!$D$4:$D$1456,"&gt;="&amp;($B658+0),Events!$D$4:$D$1456,"&lt;="&amp;($B658+7))&gt;0,1,0)</x:f>
        <x:v>1</x:v>
      </x:c>
      <x:c r="F658" s="50" t="n">
        <x:f>IF($B658&lt;='Scorecard'!$B$3-37,1,0)</x:f>
        <x:v>1</x:v>
      </x:c>
      <x:c r="G658" s="50" t="n">
        <x:f>IF(COUNTIFS(Events!$B$4:$B$1456,$A658,Events!$C$4:$C$1456,"day30_checkin_completed",Events!$D$4:$D$1456,"&gt;="&amp;($B658+28),Events!$D$4:$D$1456,"&lt;="&amp;($B658+37))&gt;0,1,0)</x:f>
        <x:v>1</x:v>
      </x:c>
      <x:c r="H658" s="50" t="n">
        <x:f>IF($B658&lt;='Scorecard'!$B$3-74,1,0)</x:f>
        <x:v>1</x:v>
      </x:c>
      <x:c r="I658" s="50" t="n">
        <x:f>IF(COUNTIFS(Events!$B$4:$B$1456,$A658,Events!$C$4:$C$1456,"day60_activity_observed",Events!$D$4:$D$1456,"&gt;="&amp;($B658+60),Events!$D$4:$D$1456,"&lt;="&amp;($B658+74))&gt;0,1,0)</x:f>
        <x:v>0</x:v>
      </x:c>
    </x:row>
    <x:row r="659">
      <x:c r="A659" s="50" t="str">
        <x:f>Members!A659</x:f>
        <x:v>SYN0656</x:v>
      </x:c>
      <x:c r="B659" s="51" t="n">
        <x:f>Members!B659</x:f>
        <x:v>46114</x:v>
      </x:c>
      <x:c r="C659" s="50" t="str">
        <x:f>Members!C659</x:f>
        <x:v>Direct</x:v>
      </x:c>
      <x:c r="D659" s="50" t="n">
        <x:f>IF($B659&lt;='Scorecard'!$B$3-7,1,0)</x:f>
        <x:v>1</x:v>
      </x:c>
      <x:c r="E659" s="50" t="n">
        <x:f>IF(COUNTIFS(Events!$B$4:$B$1456,$A659,Events!$C$4:$C$1456,"coach_contact_completed",Events!$D$4:$D$1456,"&gt;="&amp;($B659+0),Events!$D$4:$D$1456,"&lt;="&amp;($B659+7))&gt;0,1,0)</x:f>
        <x:v>0</x:v>
      </x:c>
      <x:c r="F659" s="50" t="n">
        <x:f>IF($B659&lt;='Scorecard'!$B$3-37,1,0)</x:f>
        <x:v>1</x:v>
      </x:c>
      <x:c r="G659" s="50" t="n">
        <x:f>IF(COUNTIFS(Events!$B$4:$B$1456,$A659,Events!$C$4:$C$1456,"day30_checkin_completed",Events!$D$4:$D$1456,"&gt;="&amp;($B659+28),Events!$D$4:$D$1456,"&lt;="&amp;($B659+37))&gt;0,1,0)</x:f>
        <x:v>1</x:v>
      </x:c>
      <x:c r="H659" s="50" t="n">
        <x:f>IF($B659&lt;='Scorecard'!$B$3-74,1,0)</x:f>
        <x:v>1</x:v>
      </x:c>
      <x:c r="I659" s="50" t="n">
        <x:f>IF(COUNTIFS(Events!$B$4:$B$1456,$A659,Events!$C$4:$C$1456,"day60_activity_observed",Events!$D$4:$D$1456,"&gt;="&amp;($B659+60),Events!$D$4:$D$1456,"&lt;="&amp;($B659+74))&gt;0,1,0)</x:f>
        <x:v>0</x:v>
      </x:c>
    </x:row>
    <x:row r="660">
      <x:c r="A660" s="50" t="str">
        <x:f>Members!A660</x:f>
        <x:v>SYN0657</x:v>
      </x:c>
      <x:c r="B660" s="51" t="n">
        <x:f>Members!B660</x:f>
        <x:v>46084</x:v>
      </x:c>
      <x:c r="C660" s="50" t="str">
        <x:f>Members!C660</x:f>
        <x:v>Direct</x:v>
      </x:c>
      <x:c r="D660" s="50" t="n">
        <x:f>IF($B660&lt;='Scorecard'!$B$3-7,1,0)</x:f>
        <x:v>1</x:v>
      </x:c>
      <x:c r="E660" s="50" t="n">
        <x:f>IF(COUNTIFS(Events!$B$4:$B$1456,$A660,Events!$C$4:$C$1456,"coach_contact_completed",Events!$D$4:$D$1456,"&gt;="&amp;($B660+0),Events!$D$4:$D$1456,"&lt;="&amp;($B660+7))&gt;0,1,0)</x:f>
        <x:v>1</x:v>
      </x:c>
      <x:c r="F660" s="50" t="n">
        <x:f>IF($B660&lt;='Scorecard'!$B$3-37,1,0)</x:f>
        <x:v>1</x:v>
      </x:c>
      <x:c r="G660" s="50" t="n">
        <x:f>IF(COUNTIFS(Events!$B$4:$B$1456,$A660,Events!$C$4:$C$1456,"day30_checkin_completed",Events!$D$4:$D$1456,"&gt;="&amp;($B660+28),Events!$D$4:$D$1456,"&lt;="&amp;($B660+37))&gt;0,1,0)</x:f>
        <x:v>1</x:v>
      </x:c>
      <x:c r="H660" s="50" t="n">
        <x:f>IF($B660&lt;='Scorecard'!$B$3-74,1,0)</x:f>
        <x:v>1</x:v>
      </x:c>
      <x:c r="I660" s="50" t="n">
        <x:f>IF(COUNTIFS(Events!$B$4:$B$1456,$A660,Events!$C$4:$C$1456,"day60_activity_observed",Events!$D$4:$D$1456,"&gt;="&amp;($B660+60),Events!$D$4:$D$1456,"&lt;="&amp;($B660+74))&gt;0,1,0)</x:f>
        <x:v>1</x:v>
      </x:c>
    </x:row>
    <x:row r="661">
      <x:c r="A661" s="50" t="str">
        <x:f>Members!A661</x:f>
        <x:v>SYN0658</x:v>
      </x:c>
      <x:c r="B661" s="51" t="n">
        <x:f>Members!B661</x:f>
        <x:v>46157</x:v>
      </x:c>
      <x:c r="C661" s="50" t="str">
        <x:f>Members!C661</x:f>
        <x:v>Employer</x:v>
      </x:c>
      <x:c r="D661" s="50" t="n">
        <x:f>IF($B661&lt;='Scorecard'!$B$3-7,1,0)</x:f>
        <x:v>1</x:v>
      </x:c>
      <x:c r="E661" s="50" t="n">
        <x:f>IF(COUNTIFS(Events!$B$4:$B$1456,$A661,Events!$C$4:$C$1456,"coach_contact_completed",Events!$D$4:$D$1456,"&gt;="&amp;($B661+0),Events!$D$4:$D$1456,"&lt;="&amp;($B661+7))&gt;0,1,0)</x:f>
        <x:v>1</x:v>
      </x:c>
      <x:c r="F661" s="50" t="n">
        <x:f>IF($B661&lt;='Scorecard'!$B$3-37,1,0)</x:f>
        <x:v>1</x:v>
      </x:c>
      <x:c r="G661" s="50" t="n">
        <x:f>IF(COUNTIFS(Events!$B$4:$B$1456,$A661,Events!$C$4:$C$1456,"day30_checkin_completed",Events!$D$4:$D$1456,"&gt;="&amp;($B661+28),Events!$D$4:$D$1456,"&lt;="&amp;($B661+37))&gt;0,1,0)</x:f>
        <x:v>1</x:v>
      </x:c>
      <x:c r="H661" s="50" t="n">
        <x:f>IF($B661&lt;='Scorecard'!$B$3-74,1,0)</x:f>
        <x:v>1</x:v>
      </x:c>
      <x:c r="I661" s="50" t="n">
        <x:f>IF(COUNTIFS(Events!$B$4:$B$1456,$A661,Events!$C$4:$C$1456,"day60_activity_observed",Events!$D$4:$D$1456,"&gt;="&amp;($B661+60),Events!$D$4:$D$1456,"&lt;="&amp;($B661+74))&gt;0,1,0)</x:f>
        <x:v>1</x:v>
      </x:c>
    </x:row>
    <x:row r="662">
      <x:c r="A662" s="50" t="str">
        <x:f>Members!A662</x:f>
        <x:v>SYN0659</x:v>
      </x:c>
      <x:c r="B662" s="51" t="n">
        <x:f>Members!B662</x:f>
        <x:v>46049</x:v>
      </x:c>
      <x:c r="C662" s="50" t="str">
        <x:f>Members!C662</x:f>
        <x:v>Direct</x:v>
      </x:c>
      <x:c r="D662" s="50" t="n">
        <x:f>IF($B662&lt;='Scorecard'!$B$3-7,1,0)</x:f>
        <x:v>1</x:v>
      </x:c>
      <x:c r="E662" s="50" t="n">
        <x:f>IF(COUNTIFS(Events!$B$4:$B$1456,$A662,Events!$C$4:$C$1456,"coach_contact_completed",Events!$D$4:$D$1456,"&gt;="&amp;($B662+0),Events!$D$4:$D$1456,"&lt;="&amp;($B662+7))&gt;0,1,0)</x:f>
        <x:v>0</x:v>
      </x:c>
      <x:c r="F662" s="50" t="n">
        <x:f>IF($B662&lt;='Scorecard'!$B$3-37,1,0)</x:f>
        <x:v>1</x:v>
      </x:c>
      <x:c r="G662" s="50" t="n">
        <x:f>IF(COUNTIFS(Events!$B$4:$B$1456,$A662,Events!$C$4:$C$1456,"day30_checkin_completed",Events!$D$4:$D$1456,"&gt;="&amp;($B662+28),Events!$D$4:$D$1456,"&lt;="&amp;($B662+37))&gt;0,1,0)</x:f>
        <x:v>1</x:v>
      </x:c>
      <x:c r="H662" s="50" t="n">
        <x:f>IF($B662&lt;='Scorecard'!$B$3-74,1,0)</x:f>
        <x:v>1</x:v>
      </x:c>
      <x:c r="I662" s="50" t="n">
        <x:f>IF(COUNTIFS(Events!$B$4:$B$1456,$A662,Events!$C$4:$C$1456,"day60_activity_observed",Events!$D$4:$D$1456,"&gt;="&amp;($B662+60),Events!$D$4:$D$1456,"&lt;="&amp;($B662+74))&gt;0,1,0)</x:f>
        <x:v>0</x:v>
      </x:c>
    </x:row>
    <x:row r="663">
      <x:c r="A663" s="50" t="str">
        <x:f>Members!A663</x:f>
        <x:v>SYN0660</x:v>
      </x:c>
      <x:c r="B663" s="51" t="n">
        <x:f>Members!B663</x:f>
        <x:v>46158</x:v>
      </x:c>
      <x:c r="C663" s="50" t="str">
        <x:f>Members!C663</x:f>
        <x:v>Employer</x:v>
      </x:c>
      <x:c r="D663" s="50" t="n">
        <x:f>IF($B663&lt;='Scorecard'!$B$3-7,1,0)</x:f>
        <x:v>1</x:v>
      </x:c>
      <x:c r="E663" s="50" t="n">
        <x:f>IF(COUNTIFS(Events!$B$4:$B$1456,$A663,Events!$C$4:$C$1456,"coach_contact_completed",Events!$D$4:$D$1456,"&gt;="&amp;($B663+0),Events!$D$4:$D$1456,"&lt;="&amp;($B663+7))&gt;0,1,0)</x:f>
        <x:v>1</x:v>
      </x:c>
      <x:c r="F663" s="50" t="n">
        <x:f>IF($B663&lt;='Scorecard'!$B$3-37,1,0)</x:f>
        <x:v>1</x:v>
      </x:c>
      <x:c r="G663" s="50" t="n">
        <x:f>IF(COUNTIFS(Events!$B$4:$B$1456,$A663,Events!$C$4:$C$1456,"day30_checkin_completed",Events!$D$4:$D$1456,"&gt;="&amp;($B663+28),Events!$D$4:$D$1456,"&lt;="&amp;($B663+37))&gt;0,1,0)</x:f>
        <x:v>1</x:v>
      </x:c>
      <x:c r="H663" s="50" t="n">
        <x:f>IF($B663&lt;='Scorecard'!$B$3-74,1,0)</x:f>
        <x:v>1</x:v>
      </x:c>
      <x:c r="I663" s="50" t="n">
        <x:f>IF(COUNTIFS(Events!$B$4:$B$1456,$A663,Events!$C$4:$C$1456,"day60_activity_observed",Events!$D$4:$D$1456,"&gt;="&amp;($B663+60),Events!$D$4:$D$1456,"&lt;="&amp;($B663+74))&gt;0,1,0)</x:f>
        <x:v>1</x:v>
      </x:c>
    </x:row>
    <x:row r="664">
      <x:c r="A664" s="50" t="str">
        <x:f>Members!A664</x:f>
        <x:v>SYN0661</x:v>
      </x:c>
      <x:c r="B664" s="51" t="n">
        <x:f>Members!B664</x:f>
        <x:v>46173</x:v>
      </x:c>
      <x:c r="C664" s="50" t="str">
        <x:f>Members!C664</x:f>
        <x:v>Direct</x:v>
      </x:c>
      <x:c r="D664" s="50" t="n">
        <x:f>IF($B664&lt;='Scorecard'!$B$3-7,1,0)</x:f>
        <x:v>1</x:v>
      </x:c>
      <x:c r="E664" s="50" t="n">
        <x:f>IF(COUNTIFS(Events!$B$4:$B$1456,$A664,Events!$C$4:$C$1456,"coach_contact_completed",Events!$D$4:$D$1456,"&gt;="&amp;($B664+0),Events!$D$4:$D$1456,"&lt;="&amp;($B664+7))&gt;0,1,0)</x:f>
        <x:v>1</x:v>
      </x:c>
      <x:c r="F664" s="50" t="n">
        <x:f>IF($B664&lt;='Scorecard'!$B$3-37,1,0)</x:f>
        <x:v>1</x:v>
      </x:c>
      <x:c r="G664" s="50" t="n">
        <x:f>IF(COUNTIFS(Events!$B$4:$B$1456,$A664,Events!$C$4:$C$1456,"day30_checkin_completed",Events!$D$4:$D$1456,"&gt;="&amp;($B664+28),Events!$D$4:$D$1456,"&lt;="&amp;($B664+37))&gt;0,1,0)</x:f>
        <x:v>1</x:v>
      </x:c>
      <x:c r="H664" s="50" t="n">
        <x:f>IF($B664&lt;='Scorecard'!$B$3-74,1,0)</x:f>
        <x:v>1</x:v>
      </x:c>
      <x:c r="I664" s="50" t="n">
        <x:f>IF(COUNTIFS(Events!$B$4:$B$1456,$A664,Events!$C$4:$C$1456,"day60_activity_observed",Events!$D$4:$D$1456,"&gt;="&amp;($B664+60),Events!$D$4:$D$1456,"&lt;="&amp;($B664+74))&gt;0,1,0)</x:f>
        <x:v>0</x:v>
      </x:c>
    </x:row>
    <x:row r="665">
      <x:c r="A665" s="50" t="str">
        <x:f>Members!A665</x:f>
        <x:v>SYN0662</x:v>
      </x:c>
      <x:c r="B665" s="51" t="n">
        <x:f>Members!B665</x:f>
        <x:v>46091</x:v>
      </x:c>
      <x:c r="C665" s="50" t="str">
        <x:f>Members!C665</x:f>
        <x:v>Direct</x:v>
      </x:c>
      <x:c r="D665" s="50" t="n">
        <x:f>IF($B665&lt;='Scorecard'!$B$3-7,1,0)</x:f>
        <x:v>1</x:v>
      </x:c>
      <x:c r="E665" s="50" t="n">
        <x:f>IF(COUNTIFS(Events!$B$4:$B$1456,$A665,Events!$C$4:$C$1456,"coach_contact_completed",Events!$D$4:$D$1456,"&gt;="&amp;($B665+0),Events!$D$4:$D$1456,"&lt;="&amp;($B665+7))&gt;0,1,0)</x:f>
        <x:v>1</x:v>
      </x:c>
      <x:c r="F665" s="50" t="n">
        <x:f>IF($B665&lt;='Scorecard'!$B$3-37,1,0)</x:f>
        <x:v>1</x:v>
      </x:c>
      <x:c r="G665" s="50" t="n">
        <x:f>IF(COUNTIFS(Events!$B$4:$B$1456,$A665,Events!$C$4:$C$1456,"day30_checkin_completed",Events!$D$4:$D$1456,"&gt;="&amp;($B665+28),Events!$D$4:$D$1456,"&lt;="&amp;($B665+37))&gt;0,1,0)</x:f>
        <x:v>1</x:v>
      </x:c>
      <x:c r="H665" s="50" t="n">
        <x:f>IF($B665&lt;='Scorecard'!$B$3-74,1,0)</x:f>
        <x:v>1</x:v>
      </x:c>
      <x:c r="I665" s="50" t="n">
        <x:f>IF(COUNTIFS(Events!$B$4:$B$1456,$A665,Events!$C$4:$C$1456,"day60_activity_observed",Events!$D$4:$D$1456,"&gt;="&amp;($B665+60),Events!$D$4:$D$1456,"&lt;="&amp;($B665+74))&gt;0,1,0)</x:f>
        <x:v>0</x:v>
      </x:c>
    </x:row>
    <x:row r="666">
      <x:c r="A666" s="50" t="str">
        <x:f>Members!A666</x:f>
        <x:v>SYN0663</x:v>
      </x:c>
      <x:c r="B666" s="51" t="n">
        <x:f>Members!B666</x:f>
        <x:v>46108</x:v>
      </x:c>
      <x:c r="C666" s="50" t="str">
        <x:f>Members!C666</x:f>
        <x:v>Direct</x:v>
      </x:c>
      <x:c r="D666" s="50" t="n">
        <x:f>IF($B666&lt;='Scorecard'!$B$3-7,1,0)</x:f>
        <x:v>1</x:v>
      </x:c>
      <x:c r="E666" s="50" t="n">
        <x:f>IF(COUNTIFS(Events!$B$4:$B$1456,$A666,Events!$C$4:$C$1456,"coach_contact_completed",Events!$D$4:$D$1456,"&gt;="&amp;($B666+0),Events!$D$4:$D$1456,"&lt;="&amp;($B666+7))&gt;0,1,0)</x:f>
        <x:v>1</x:v>
      </x:c>
      <x:c r="F666" s="50" t="n">
        <x:f>IF($B666&lt;='Scorecard'!$B$3-37,1,0)</x:f>
        <x:v>1</x:v>
      </x:c>
      <x:c r="G666" s="50" t="n">
        <x:f>IF(COUNTIFS(Events!$B$4:$B$1456,$A666,Events!$C$4:$C$1456,"day30_checkin_completed",Events!$D$4:$D$1456,"&gt;="&amp;($B666+28),Events!$D$4:$D$1456,"&lt;="&amp;($B666+37))&gt;0,1,0)</x:f>
        <x:v>1</x:v>
      </x:c>
      <x:c r="H666" s="50" t="n">
        <x:f>IF($B666&lt;='Scorecard'!$B$3-74,1,0)</x:f>
        <x:v>1</x:v>
      </x:c>
      <x:c r="I666" s="50" t="n">
        <x:f>IF(COUNTIFS(Events!$B$4:$B$1456,$A666,Events!$C$4:$C$1456,"day60_activity_observed",Events!$D$4:$D$1456,"&gt;="&amp;($B666+60),Events!$D$4:$D$1456,"&lt;="&amp;($B666+74))&gt;0,1,0)</x:f>
        <x:v>1</x:v>
      </x:c>
    </x:row>
    <x:row r="667">
      <x:c r="A667" s="50" t="str">
        <x:f>Members!A667</x:f>
        <x:v>SYN0664</x:v>
      </x:c>
      <x:c r="B667" s="51" t="n">
        <x:f>Members!B667</x:f>
        <x:v>46039</x:v>
      </x:c>
      <x:c r="C667" s="50" t="str">
        <x:f>Members!C667</x:f>
        <x:v>Direct</x:v>
      </x:c>
      <x:c r="D667" s="50" t="n">
        <x:f>IF($B667&lt;='Scorecard'!$B$3-7,1,0)</x:f>
        <x:v>1</x:v>
      </x:c>
      <x:c r="E667" s="50" t="n">
        <x:f>IF(COUNTIFS(Events!$B$4:$B$1456,$A667,Events!$C$4:$C$1456,"coach_contact_completed",Events!$D$4:$D$1456,"&gt;="&amp;($B667+0),Events!$D$4:$D$1456,"&lt;="&amp;($B667+7))&gt;0,1,0)</x:f>
        <x:v>0</x:v>
      </x:c>
      <x:c r="F667" s="50" t="n">
        <x:f>IF($B667&lt;='Scorecard'!$B$3-37,1,0)</x:f>
        <x:v>1</x:v>
      </x:c>
      <x:c r="G667" s="50" t="n">
        <x:f>IF(COUNTIFS(Events!$B$4:$B$1456,$A667,Events!$C$4:$C$1456,"day30_checkin_completed",Events!$D$4:$D$1456,"&gt;="&amp;($B667+28),Events!$D$4:$D$1456,"&lt;="&amp;($B667+37))&gt;0,1,0)</x:f>
        <x:v>0</x:v>
      </x:c>
      <x:c r="H667" s="50" t="n">
        <x:f>IF($B667&lt;='Scorecard'!$B$3-74,1,0)</x:f>
        <x:v>1</x:v>
      </x:c>
      <x:c r="I667" s="50" t="n">
        <x:f>IF(COUNTIFS(Events!$B$4:$B$1456,$A667,Events!$C$4:$C$1456,"day60_activity_observed",Events!$D$4:$D$1456,"&gt;="&amp;($B667+60),Events!$D$4:$D$1456,"&lt;="&amp;($B667+74))&gt;0,1,0)</x:f>
        <x:v>1</x:v>
      </x:c>
    </x:row>
    <x:row r="668">
      <x:c r="A668" s="50" t="str">
        <x:f>Members!A668</x:f>
        <x:v>SYN0665</x:v>
      </x:c>
      <x:c r="B668" s="51" t="n">
        <x:f>Members!B668</x:f>
        <x:v>46156</x:v>
      </x:c>
      <x:c r="C668" s="50" t="str">
        <x:f>Members!C668</x:f>
        <x:v>Direct</x:v>
      </x:c>
      <x:c r="D668" s="50" t="n">
        <x:f>IF($B668&lt;='Scorecard'!$B$3-7,1,0)</x:f>
        <x:v>1</x:v>
      </x:c>
      <x:c r="E668" s="50" t="n">
        <x:f>IF(COUNTIFS(Events!$B$4:$B$1456,$A668,Events!$C$4:$C$1456,"coach_contact_completed",Events!$D$4:$D$1456,"&gt;="&amp;($B668+0),Events!$D$4:$D$1456,"&lt;="&amp;($B668+7))&gt;0,1,0)</x:f>
        <x:v>0</x:v>
      </x:c>
      <x:c r="F668" s="50" t="n">
        <x:f>IF($B668&lt;='Scorecard'!$B$3-37,1,0)</x:f>
        <x:v>1</x:v>
      </x:c>
      <x:c r="G668" s="50" t="n">
        <x:f>IF(COUNTIFS(Events!$B$4:$B$1456,$A668,Events!$C$4:$C$1456,"day30_checkin_completed",Events!$D$4:$D$1456,"&gt;="&amp;($B668+28),Events!$D$4:$D$1456,"&lt;="&amp;($B668+37))&gt;0,1,0)</x:f>
        <x:v>1</x:v>
      </x:c>
      <x:c r="H668" s="50" t="n">
        <x:f>IF($B668&lt;='Scorecard'!$B$3-74,1,0)</x:f>
        <x:v>1</x:v>
      </x:c>
      <x:c r="I668" s="50" t="n">
        <x:f>IF(COUNTIFS(Events!$B$4:$B$1456,$A668,Events!$C$4:$C$1456,"day60_activity_observed",Events!$D$4:$D$1456,"&gt;="&amp;($B668+60),Events!$D$4:$D$1456,"&lt;="&amp;($B668+74))&gt;0,1,0)</x:f>
        <x:v>1</x:v>
      </x:c>
    </x:row>
    <x:row r="669">
      <x:c r="A669" s="50" t="str">
        <x:f>Members!A669</x:f>
        <x:v>SYN0666</x:v>
      </x:c>
      <x:c r="B669" s="51" t="n">
        <x:f>Members!B669</x:f>
        <x:v>46069</x:v>
      </x:c>
      <x:c r="C669" s="50" t="str">
        <x:f>Members!C669</x:f>
        <x:v>Direct</x:v>
      </x:c>
      <x:c r="D669" s="50" t="n">
        <x:f>IF($B669&lt;='Scorecard'!$B$3-7,1,0)</x:f>
        <x:v>1</x:v>
      </x:c>
      <x:c r="E669" s="50" t="n">
        <x:f>IF(COUNTIFS(Events!$B$4:$B$1456,$A669,Events!$C$4:$C$1456,"coach_contact_completed",Events!$D$4:$D$1456,"&gt;="&amp;($B669+0),Events!$D$4:$D$1456,"&lt;="&amp;($B669+7))&gt;0,1,0)</x:f>
        <x:v>1</x:v>
      </x:c>
      <x:c r="F669" s="50" t="n">
        <x:f>IF($B669&lt;='Scorecard'!$B$3-37,1,0)</x:f>
        <x:v>1</x:v>
      </x:c>
      <x:c r="G669" s="50" t="n">
        <x:f>IF(COUNTIFS(Events!$B$4:$B$1456,$A669,Events!$C$4:$C$1456,"day30_checkin_completed",Events!$D$4:$D$1456,"&gt;="&amp;($B669+28),Events!$D$4:$D$1456,"&lt;="&amp;($B669+37))&gt;0,1,0)</x:f>
        <x:v>1</x:v>
      </x:c>
      <x:c r="H669" s="50" t="n">
        <x:f>IF($B669&lt;='Scorecard'!$B$3-74,1,0)</x:f>
        <x:v>1</x:v>
      </x:c>
      <x:c r="I669" s="50" t="n">
        <x:f>IF(COUNTIFS(Events!$B$4:$B$1456,$A669,Events!$C$4:$C$1456,"day60_activity_observed",Events!$D$4:$D$1456,"&gt;="&amp;($B669+60),Events!$D$4:$D$1456,"&lt;="&amp;($B669+74))&gt;0,1,0)</x:f>
        <x:v>1</x:v>
      </x:c>
    </x:row>
    <x:row r="670">
      <x:c r="A670" s="50" t="str">
        <x:f>Members!A670</x:f>
        <x:v>SYN0667</x:v>
      </x:c>
      <x:c r="B670" s="51" t="n">
        <x:f>Members!B670</x:f>
        <x:v>46173</x:v>
      </x:c>
      <x:c r="C670" s="50" t="str">
        <x:f>Members!C670</x:f>
        <x:v>Employer</x:v>
      </x:c>
      <x:c r="D670" s="50" t="n">
        <x:f>IF($B670&lt;='Scorecard'!$B$3-7,1,0)</x:f>
        <x:v>1</x:v>
      </x:c>
      <x:c r="E670" s="50" t="n">
        <x:f>IF(COUNTIFS(Events!$B$4:$B$1456,$A670,Events!$C$4:$C$1456,"coach_contact_completed",Events!$D$4:$D$1456,"&gt;="&amp;($B670+0),Events!$D$4:$D$1456,"&lt;="&amp;($B670+7))&gt;0,1,0)</x:f>
        <x:v>0</x:v>
      </x:c>
      <x:c r="F670" s="50" t="n">
        <x:f>IF($B670&lt;='Scorecard'!$B$3-37,1,0)</x:f>
        <x:v>1</x:v>
      </x:c>
      <x:c r="G670" s="50" t="n">
        <x:f>IF(COUNTIFS(Events!$B$4:$B$1456,$A670,Events!$C$4:$C$1456,"day30_checkin_completed",Events!$D$4:$D$1456,"&gt;="&amp;($B670+28),Events!$D$4:$D$1456,"&lt;="&amp;($B670+37))&gt;0,1,0)</x:f>
        <x:v>1</x:v>
      </x:c>
      <x:c r="H670" s="50" t="n">
        <x:f>IF($B670&lt;='Scorecard'!$B$3-74,1,0)</x:f>
        <x:v>1</x:v>
      </x:c>
      <x:c r="I670" s="50" t="n">
        <x:f>IF(COUNTIFS(Events!$B$4:$B$1456,$A670,Events!$C$4:$C$1456,"day60_activity_observed",Events!$D$4:$D$1456,"&gt;="&amp;($B670+60),Events!$D$4:$D$1456,"&lt;="&amp;($B670+74))&gt;0,1,0)</x:f>
        <x:v>1</x:v>
      </x:c>
    </x:row>
    <x:row r="671">
      <x:c r="A671" s="50" t="str">
        <x:f>Members!A671</x:f>
        <x:v>SYN0668</x:v>
      </x:c>
      <x:c r="B671" s="51" t="n">
        <x:f>Members!B671</x:f>
        <x:v>46141</x:v>
      </x:c>
      <x:c r="C671" s="50" t="str">
        <x:f>Members!C671</x:f>
        <x:v>Direct</x:v>
      </x:c>
      <x:c r="D671" s="50" t="n">
        <x:f>IF($B671&lt;='Scorecard'!$B$3-7,1,0)</x:f>
        <x:v>1</x:v>
      </x:c>
      <x:c r="E671" s="50" t="n">
        <x:f>IF(COUNTIFS(Events!$B$4:$B$1456,$A671,Events!$C$4:$C$1456,"coach_contact_completed",Events!$D$4:$D$1456,"&gt;="&amp;($B671+0),Events!$D$4:$D$1456,"&lt;="&amp;($B671+7))&gt;0,1,0)</x:f>
        <x:v>0</x:v>
      </x:c>
      <x:c r="F671" s="50" t="n">
        <x:f>IF($B671&lt;='Scorecard'!$B$3-37,1,0)</x:f>
        <x:v>1</x:v>
      </x:c>
      <x:c r="G671" s="50" t="n">
        <x:f>IF(COUNTIFS(Events!$B$4:$B$1456,$A671,Events!$C$4:$C$1456,"day30_checkin_completed",Events!$D$4:$D$1456,"&gt;="&amp;($B671+28),Events!$D$4:$D$1456,"&lt;="&amp;($B671+37))&gt;0,1,0)</x:f>
        <x:v>1</x:v>
      </x:c>
      <x:c r="H671" s="50" t="n">
        <x:f>IF($B671&lt;='Scorecard'!$B$3-74,1,0)</x:f>
        <x:v>1</x:v>
      </x:c>
      <x:c r="I671" s="50" t="n">
        <x:f>IF(COUNTIFS(Events!$B$4:$B$1456,$A671,Events!$C$4:$C$1456,"day60_activity_observed",Events!$D$4:$D$1456,"&gt;="&amp;($B671+60),Events!$D$4:$D$1456,"&lt;="&amp;($B671+74))&gt;0,1,0)</x:f>
        <x:v>1</x:v>
      </x:c>
    </x:row>
    <x:row r="672">
      <x:c r="A672" s="50" t="str">
        <x:f>Members!A672</x:f>
        <x:v>SYN0669</x:v>
      </x:c>
      <x:c r="B672" s="51" t="n">
        <x:f>Members!B672</x:f>
        <x:v>46162</x:v>
      </x:c>
      <x:c r="C672" s="50" t="str">
        <x:f>Members!C672</x:f>
        <x:v>Employer</x:v>
      </x:c>
      <x:c r="D672" s="50" t="n">
        <x:f>IF($B672&lt;='Scorecard'!$B$3-7,1,0)</x:f>
        <x:v>1</x:v>
      </x:c>
      <x:c r="E672" s="50" t="n">
        <x:f>IF(COUNTIFS(Events!$B$4:$B$1456,$A672,Events!$C$4:$C$1456,"coach_contact_completed",Events!$D$4:$D$1456,"&gt;="&amp;($B672+0),Events!$D$4:$D$1456,"&lt;="&amp;($B672+7))&gt;0,1,0)</x:f>
        <x:v>1</x:v>
      </x:c>
      <x:c r="F672" s="50" t="n">
        <x:f>IF($B672&lt;='Scorecard'!$B$3-37,1,0)</x:f>
        <x:v>1</x:v>
      </x:c>
      <x:c r="G672" s="50" t="n">
        <x:f>IF(COUNTIFS(Events!$B$4:$B$1456,$A672,Events!$C$4:$C$1456,"day30_checkin_completed",Events!$D$4:$D$1456,"&gt;="&amp;($B672+28),Events!$D$4:$D$1456,"&lt;="&amp;($B672+37))&gt;0,1,0)</x:f>
        <x:v>0</x:v>
      </x:c>
      <x:c r="H672" s="50" t="n">
        <x:f>IF($B672&lt;='Scorecard'!$B$3-74,1,0)</x:f>
        <x:v>1</x:v>
      </x:c>
      <x:c r="I672" s="50" t="n">
        <x:f>IF(COUNTIFS(Events!$B$4:$B$1456,$A672,Events!$C$4:$C$1456,"day60_activity_observed",Events!$D$4:$D$1456,"&gt;="&amp;($B672+60),Events!$D$4:$D$1456,"&lt;="&amp;($B672+74))&gt;0,1,0)</x:f>
        <x:v>0</x:v>
      </x:c>
    </x:row>
    <x:row r="673">
      <x:c r="A673" s="50" t="str">
        <x:f>Members!A673</x:f>
        <x:v>SYN0670</x:v>
      </x:c>
      <x:c r="B673" s="51" t="n">
        <x:f>Members!B673</x:f>
        <x:v>46198</x:v>
      </x:c>
      <x:c r="C673" s="50" t="str">
        <x:f>Members!C673</x:f>
        <x:v>Employer</x:v>
      </x:c>
      <x:c r="D673" s="50" t="n">
        <x:f>IF($B673&lt;='Scorecard'!$B$3-7,1,0)</x:f>
        <x:v>1</x:v>
      </x:c>
      <x:c r="E673" s="50" t="n">
        <x:f>IF(COUNTIFS(Events!$B$4:$B$1456,$A673,Events!$C$4:$C$1456,"coach_contact_completed",Events!$D$4:$D$1456,"&gt;="&amp;($B673+0),Events!$D$4:$D$1456,"&lt;="&amp;($B673+7))&gt;0,1,0)</x:f>
        <x:v>1</x:v>
      </x:c>
      <x:c r="F673" s="50" t="n">
        <x:f>IF($B673&lt;='Scorecard'!$B$3-37,1,0)</x:f>
        <x:v>1</x:v>
      </x:c>
      <x:c r="G673" s="50" t="n">
        <x:f>IF(COUNTIFS(Events!$B$4:$B$1456,$A673,Events!$C$4:$C$1456,"day30_checkin_completed",Events!$D$4:$D$1456,"&gt;="&amp;($B673+28),Events!$D$4:$D$1456,"&lt;="&amp;($B673+37))&gt;0,1,0)</x:f>
        <x:v>1</x:v>
      </x:c>
      <x:c r="H673" s="50" t="n">
        <x:f>IF($B673&lt;='Scorecard'!$B$3-74,1,0)</x:f>
        <x:v>1</x:v>
      </x:c>
      <x:c r="I673" s="50" t="n">
        <x:f>IF(COUNTIFS(Events!$B$4:$B$1456,$A673,Events!$C$4:$C$1456,"day60_activity_observed",Events!$D$4:$D$1456,"&gt;="&amp;($B673+60),Events!$D$4:$D$1456,"&lt;="&amp;($B673+74))&gt;0,1,0)</x:f>
        <x:v>1</x:v>
      </x:c>
    </x:row>
    <x:row r="674">
      <x:c r="A674" s="50" t="str">
        <x:f>Members!A674</x:f>
        <x:v>SYN0671</x:v>
      </x:c>
      <x:c r="B674" s="51" t="n">
        <x:f>Members!B674</x:f>
        <x:v>46257</x:v>
      </x:c>
      <x:c r="C674" s="50" t="str">
        <x:f>Members!C674</x:f>
        <x:v>Direct</x:v>
      </x:c>
      <x:c r="D674" s="50" t="n">
        <x:f>IF($B674&lt;='Scorecard'!$B$3-7,1,0)</x:f>
        <x:v>1</x:v>
      </x:c>
      <x:c r="E674" s="50" t="n">
        <x:f>IF(COUNTIFS(Events!$B$4:$B$1456,$A674,Events!$C$4:$C$1456,"coach_contact_completed",Events!$D$4:$D$1456,"&gt;="&amp;($B674+0),Events!$D$4:$D$1456,"&lt;="&amp;($B674+7))&gt;0,1,0)</x:f>
        <x:v>1</x:v>
      </x:c>
      <x:c r="F674" s="50" t="n">
        <x:f>IF($B674&lt;='Scorecard'!$B$3-37,1,0)</x:f>
        <x:v>1</x:v>
      </x:c>
      <x:c r="G674" s="50" t="n">
        <x:f>IF(COUNTIFS(Events!$B$4:$B$1456,$A674,Events!$C$4:$C$1456,"day30_checkin_completed",Events!$D$4:$D$1456,"&gt;="&amp;($B674+28),Events!$D$4:$D$1456,"&lt;="&amp;($B674+37))&gt;0,1,0)</x:f>
        <x:v>1</x:v>
      </x:c>
      <x:c r="H674" s="50" t="n">
        <x:f>IF($B674&lt;='Scorecard'!$B$3-74,1,0)</x:f>
        <x:v>0</x:v>
      </x:c>
      <x:c r="I674" s="50" t="n">
        <x:f>IF(COUNTIFS(Events!$B$4:$B$1456,$A674,Events!$C$4:$C$1456,"day60_activity_observed",Events!$D$4:$D$1456,"&gt;="&amp;($B674+60),Events!$D$4:$D$1456,"&lt;="&amp;($B674+74))&gt;0,1,0)</x:f>
        <x:v>0</x:v>
      </x:c>
    </x:row>
    <x:row r="675">
      <x:c r="A675" s="50" t="str">
        <x:f>Members!A675</x:f>
        <x:v>SYN0672</x:v>
      </x:c>
      <x:c r="B675" s="51" t="n">
        <x:f>Members!B675</x:f>
        <x:v>46031</x:v>
      </x:c>
      <x:c r="C675" s="50" t="str">
        <x:f>Members!C675</x:f>
        <x:v>Direct</x:v>
      </x:c>
      <x:c r="D675" s="50" t="n">
        <x:f>IF($B675&lt;='Scorecard'!$B$3-7,1,0)</x:f>
        <x:v>1</x:v>
      </x:c>
      <x:c r="E675" s="50" t="n">
        <x:f>IF(COUNTIFS(Events!$B$4:$B$1456,$A675,Events!$C$4:$C$1456,"coach_contact_completed",Events!$D$4:$D$1456,"&gt;="&amp;($B675+0),Events!$D$4:$D$1456,"&lt;="&amp;($B675+7))&gt;0,1,0)</x:f>
        <x:v>1</x:v>
      </x:c>
      <x:c r="F675" s="50" t="n">
        <x:f>IF($B675&lt;='Scorecard'!$B$3-37,1,0)</x:f>
        <x:v>1</x:v>
      </x:c>
      <x:c r="G675" s="50" t="n">
        <x:f>IF(COUNTIFS(Events!$B$4:$B$1456,$A675,Events!$C$4:$C$1456,"day30_checkin_completed",Events!$D$4:$D$1456,"&gt;="&amp;($B675+28),Events!$D$4:$D$1456,"&lt;="&amp;($B675+37))&gt;0,1,0)</x:f>
        <x:v>1</x:v>
      </x:c>
      <x:c r="H675" s="50" t="n">
        <x:f>IF($B675&lt;='Scorecard'!$B$3-74,1,0)</x:f>
        <x:v>1</x:v>
      </x:c>
      <x:c r="I675" s="50" t="n">
        <x:f>IF(COUNTIFS(Events!$B$4:$B$1456,$A675,Events!$C$4:$C$1456,"day60_activity_observed",Events!$D$4:$D$1456,"&gt;="&amp;($B675+60),Events!$D$4:$D$1456,"&lt;="&amp;($B675+74))&gt;0,1,0)</x:f>
        <x:v>0</x:v>
      </x:c>
    </x:row>
    <x:row r="676">
      <x:c r="A676" s="50" t="str">
        <x:f>Members!A676</x:f>
        <x:v>SYN0673</x:v>
      </x:c>
      <x:c r="B676" s="51" t="n">
        <x:f>Members!B676</x:f>
        <x:v>46171</x:v>
      </x:c>
      <x:c r="C676" s="50" t="str">
        <x:f>Members!C676</x:f>
        <x:v>Employer</x:v>
      </x:c>
      <x:c r="D676" s="50" t="n">
        <x:f>IF($B676&lt;='Scorecard'!$B$3-7,1,0)</x:f>
        <x:v>1</x:v>
      </x:c>
      <x:c r="E676" s="50" t="n">
        <x:f>IF(COUNTIFS(Events!$B$4:$B$1456,$A676,Events!$C$4:$C$1456,"coach_contact_completed",Events!$D$4:$D$1456,"&gt;="&amp;($B676+0),Events!$D$4:$D$1456,"&lt;="&amp;($B676+7))&gt;0,1,0)</x:f>
        <x:v>1</x:v>
      </x:c>
      <x:c r="F676" s="50" t="n">
        <x:f>IF($B676&lt;='Scorecard'!$B$3-37,1,0)</x:f>
        <x:v>1</x:v>
      </x:c>
      <x:c r="G676" s="50" t="n">
        <x:f>IF(COUNTIFS(Events!$B$4:$B$1456,$A676,Events!$C$4:$C$1456,"day30_checkin_completed",Events!$D$4:$D$1456,"&gt;="&amp;($B676+28),Events!$D$4:$D$1456,"&lt;="&amp;($B676+37))&gt;0,1,0)</x:f>
        <x:v>0</x:v>
      </x:c>
      <x:c r="H676" s="50" t="n">
        <x:f>IF($B676&lt;='Scorecard'!$B$3-74,1,0)</x:f>
        <x:v>1</x:v>
      </x:c>
      <x:c r="I676" s="50" t="n">
        <x:f>IF(COUNTIFS(Events!$B$4:$B$1456,$A676,Events!$C$4:$C$1456,"day60_activity_observed",Events!$D$4:$D$1456,"&gt;="&amp;($B676+60),Events!$D$4:$D$1456,"&lt;="&amp;($B676+74))&gt;0,1,0)</x:f>
        <x:v>1</x:v>
      </x:c>
    </x:row>
    <x:row r="677">
      <x:c r="A677" s="50" t="str">
        <x:f>Members!A677</x:f>
        <x:v>SYN0674</x:v>
      </x:c>
      <x:c r="B677" s="51" t="n">
        <x:f>Members!B677</x:f>
        <x:v>46093</x:v>
      </x:c>
      <x:c r="C677" s="50" t="str">
        <x:f>Members!C677</x:f>
        <x:v>Direct</x:v>
      </x:c>
      <x:c r="D677" s="50" t="n">
        <x:f>IF($B677&lt;='Scorecard'!$B$3-7,1,0)</x:f>
        <x:v>1</x:v>
      </x:c>
      <x:c r="E677" s="50" t="n">
        <x:f>IF(COUNTIFS(Events!$B$4:$B$1456,$A677,Events!$C$4:$C$1456,"coach_contact_completed",Events!$D$4:$D$1456,"&gt;="&amp;($B677+0),Events!$D$4:$D$1456,"&lt;="&amp;($B677+7))&gt;0,1,0)</x:f>
        <x:v>1</x:v>
      </x:c>
      <x:c r="F677" s="50" t="n">
        <x:f>IF($B677&lt;='Scorecard'!$B$3-37,1,0)</x:f>
        <x:v>1</x:v>
      </x:c>
      <x:c r="G677" s="50" t="n">
        <x:f>IF(COUNTIFS(Events!$B$4:$B$1456,$A677,Events!$C$4:$C$1456,"day30_checkin_completed",Events!$D$4:$D$1456,"&gt;="&amp;($B677+28),Events!$D$4:$D$1456,"&lt;="&amp;($B677+37))&gt;0,1,0)</x:f>
        <x:v>0</x:v>
      </x:c>
      <x:c r="H677" s="50" t="n">
        <x:f>IF($B677&lt;='Scorecard'!$B$3-74,1,0)</x:f>
        <x:v>1</x:v>
      </x:c>
      <x:c r="I677" s="50" t="n">
        <x:f>IF(COUNTIFS(Events!$B$4:$B$1456,$A677,Events!$C$4:$C$1456,"day60_activity_observed",Events!$D$4:$D$1456,"&gt;="&amp;($B677+60),Events!$D$4:$D$1456,"&lt;="&amp;($B677+74))&gt;0,1,0)</x:f>
        <x:v>1</x:v>
      </x:c>
    </x:row>
    <x:row r="678">
      <x:c r="A678" s="50" t="str">
        <x:f>Members!A678</x:f>
        <x:v>SYN0675</x:v>
      </x:c>
      <x:c r="B678" s="51" t="n">
        <x:f>Members!B678</x:f>
        <x:v>46046</x:v>
      </x:c>
      <x:c r="C678" s="50" t="str">
        <x:f>Members!C678</x:f>
        <x:v>Employer</x:v>
      </x:c>
      <x:c r="D678" s="50" t="n">
        <x:f>IF($B678&lt;='Scorecard'!$B$3-7,1,0)</x:f>
        <x:v>1</x:v>
      </x:c>
      <x:c r="E678" s="50" t="n">
        <x:f>IF(COUNTIFS(Events!$B$4:$B$1456,$A678,Events!$C$4:$C$1456,"coach_contact_completed",Events!$D$4:$D$1456,"&gt;="&amp;($B678+0),Events!$D$4:$D$1456,"&lt;="&amp;($B678+7))&gt;0,1,0)</x:f>
        <x:v>1</x:v>
      </x:c>
      <x:c r="F678" s="50" t="n">
        <x:f>IF($B678&lt;='Scorecard'!$B$3-37,1,0)</x:f>
        <x:v>1</x:v>
      </x:c>
      <x:c r="G678" s="50" t="n">
        <x:f>IF(COUNTIFS(Events!$B$4:$B$1456,$A678,Events!$C$4:$C$1456,"day30_checkin_completed",Events!$D$4:$D$1456,"&gt;="&amp;($B678+28),Events!$D$4:$D$1456,"&lt;="&amp;($B678+37))&gt;0,1,0)</x:f>
        <x:v>1</x:v>
      </x:c>
      <x:c r="H678" s="50" t="n">
        <x:f>IF($B678&lt;='Scorecard'!$B$3-74,1,0)</x:f>
        <x:v>1</x:v>
      </x:c>
      <x:c r="I678" s="50" t="n">
        <x:f>IF(COUNTIFS(Events!$B$4:$B$1456,$A678,Events!$C$4:$C$1456,"day60_activity_observed",Events!$D$4:$D$1456,"&gt;="&amp;($B678+60),Events!$D$4:$D$1456,"&lt;="&amp;($B678+74))&gt;0,1,0)</x:f>
        <x:v>0</x:v>
      </x:c>
    </x:row>
    <x:row r="679">
      <x:c r="A679" s="50" t="str">
        <x:f>Members!A679</x:f>
        <x:v>SYN0676</x:v>
      </x:c>
      <x:c r="B679" s="51" t="n">
        <x:f>Members!B679</x:f>
        <x:v>46171</x:v>
      </x:c>
      <x:c r="C679" s="50" t="str">
        <x:f>Members!C679</x:f>
        <x:v>Direct</x:v>
      </x:c>
      <x:c r="D679" s="50" t="n">
        <x:f>IF($B679&lt;='Scorecard'!$B$3-7,1,0)</x:f>
        <x:v>1</x:v>
      </x:c>
      <x:c r="E679" s="50" t="n">
        <x:f>IF(COUNTIFS(Events!$B$4:$B$1456,$A679,Events!$C$4:$C$1456,"coach_contact_completed",Events!$D$4:$D$1456,"&gt;="&amp;($B679+0),Events!$D$4:$D$1456,"&lt;="&amp;($B679+7))&gt;0,1,0)</x:f>
        <x:v>0</x:v>
      </x:c>
      <x:c r="F679" s="50" t="n">
        <x:f>IF($B679&lt;='Scorecard'!$B$3-37,1,0)</x:f>
        <x:v>1</x:v>
      </x:c>
      <x:c r="G679" s="50" t="n">
        <x:f>IF(COUNTIFS(Events!$B$4:$B$1456,$A679,Events!$C$4:$C$1456,"day30_checkin_completed",Events!$D$4:$D$1456,"&gt;="&amp;($B679+28),Events!$D$4:$D$1456,"&lt;="&amp;($B679+37))&gt;0,1,0)</x:f>
        <x:v>1</x:v>
      </x:c>
      <x:c r="H679" s="50" t="n">
        <x:f>IF($B679&lt;='Scorecard'!$B$3-74,1,0)</x:f>
        <x:v>1</x:v>
      </x:c>
      <x:c r="I679" s="50" t="n">
        <x:f>IF(COUNTIFS(Events!$B$4:$B$1456,$A679,Events!$C$4:$C$1456,"day60_activity_observed",Events!$D$4:$D$1456,"&gt;="&amp;($B679+60),Events!$D$4:$D$1456,"&lt;="&amp;($B679+74))&gt;0,1,0)</x:f>
        <x:v>0</x:v>
      </x:c>
    </x:row>
    <x:row r="680">
      <x:c r="A680" s="50" t="str">
        <x:f>Members!A680</x:f>
        <x:v>SYN0677</x:v>
      </x:c>
      <x:c r="B680" s="51" t="n">
        <x:f>Members!B680</x:f>
        <x:v>46023</x:v>
      </x:c>
      <x:c r="C680" s="50" t="str">
        <x:f>Members!C680</x:f>
        <x:v>Direct</x:v>
      </x:c>
      <x:c r="D680" s="50" t="n">
        <x:f>IF($B680&lt;='Scorecard'!$B$3-7,1,0)</x:f>
        <x:v>1</x:v>
      </x:c>
      <x:c r="E680" s="50" t="n">
        <x:f>IF(COUNTIFS(Events!$B$4:$B$1456,$A680,Events!$C$4:$C$1456,"coach_contact_completed",Events!$D$4:$D$1456,"&gt;="&amp;($B680+0),Events!$D$4:$D$1456,"&lt;="&amp;($B680+7))&gt;0,1,0)</x:f>
        <x:v>1</x:v>
      </x:c>
      <x:c r="F680" s="50" t="n">
        <x:f>IF($B680&lt;='Scorecard'!$B$3-37,1,0)</x:f>
        <x:v>1</x:v>
      </x:c>
      <x:c r="G680" s="50" t="n">
        <x:f>IF(COUNTIFS(Events!$B$4:$B$1456,$A680,Events!$C$4:$C$1456,"day30_checkin_completed",Events!$D$4:$D$1456,"&gt;="&amp;($B680+28),Events!$D$4:$D$1456,"&lt;="&amp;($B680+37))&gt;0,1,0)</x:f>
        <x:v>0</x:v>
      </x:c>
      <x:c r="H680" s="50" t="n">
        <x:f>IF($B680&lt;='Scorecard'!$B$3-74,1,0)</x:f>
        <x:v>1</x:v>
      </x:c>
      <x:c r="I680" s="50" t="n">
        <x:f>IF(COUNTIFS(Events!$B$4:$B$1456,$A680,Events!$C$4:$C$1456,"day60_activity_observed",Events!$D$4:$D$1456,"&gt;="&amp;($B680+60),Events!$D$4:$D$1456,"&lt;="&amp;($B680+74))&gt;0,1,0)</x:f>
        <x:v>1</x:v>
      </x:c>
    </x:row>
    <x:row r="681">
      <x:c r="A681" s="50" t="str">
        <x:f>Members!A681</x:f>
        <x:v>SYN0678</x:v>
      </x:c>
      <x:c r="B681" s="51" t="n">
        <x:f>Members!B681</x:f>
        <x:v>46120</x:v>
      </x:c>
      <x:c r="C681" s="50" t="str">
        <x:f>Members!C681</x:f>
        <x:v>Direct</x:v>
      </x:c>
      <x:c r="D681" s="50" t="n">
        <x:f>IF($B681&lt;='Scorecard'!$B$3-7,1,0)</x:f>
        <x:v>1</x:v>
      </x:c>
      <x:c r="E681" s="50" t="n">
        <x:f>IF(COUNTIFS(Events!$B$4:$B$1456,$A681,Events!$C$4:$C$1456,"coach_contact_completed",Events!$D$4:$D$1456,"&gt;="&amp;($B681+0),Events!$D$4:$D$1456,"&lt;="&amp;($B681+7))&gt;0,1,0)</x:f>
        <x:v>0</x:v>
      </x:c>
      <x:c r="F681" s="50" t="n">
        <x:f>IF($B681&lt;='Scorecard'!$B$3-37,1,0)</x:f>
        <x:v>1</x:v>
      </x:c>
      <x:c r="G681" s="50" t="n">
        <x:f>IF(COUNTIFS(Events!$B$4:$B$1456,$A681,Events!$C$4:$C$1456,"day30_checkin_completed",Events!$D$4:$D$1456,"&gt;="&amp;($B681+28),Events!$D$4:$D$1456,"&lt;="&amp;($B681+37))&gt;0,1,0)</x:f>
        <x:v>0</x:v>
      </x:c>
      <x:c r="H681" s="50" t="n">
        <x:f>IF($B681&lt;='Scorecard'!$B$3-74,1,0)</x:f>
        <x:v>1</x:v>
      </x:c>
      <x:c r="I681" s="50" t="n">
        <x:f>IF(COUNTIFS(Events!$B$4:$B$1456,$A681,Events!$C$4:$C$1456,"day60_activity_observed",Events!$D$4:$D$1456,"&gt;="&amp;($B681+60),Events!$D$4:$D$1456,"&lt;="&amp;($B681+74))&gt;0,1,0)</x:f>
        <x:v>0</x:v>
      </x:c>
    </x:row>
    <x:row r="682">
      <x:c r="A682" s="50" t="str">
        <x:f>Members!A682</x:f>
        <x:v>SYN0679</x:v>
      </x:c>
      <x:c r="B682" s="51" t="n">
        <x:f>Members!B682</x:f>
        <x:v>46076</x:v>
      </x:c>
      <x:c r="C682" s="50" t="str">
        <x:f>Members!C682</x:f>
        <x:v>Employer</x:v>
      </x:c>
      <x:c r="D682" s="50" t="n">
        <x:f>IF($B682&lt;='Scorecard'!$B$3-7,1,0)</x:f>
        <x:v>1</x:v>
      </x:c>
      <x:c r="E682" s="50" t="n">
        <x:f>IF(COUNTIFS(Events!$B$4:$B$1456,$A682,Events!$C$4:$C$1456,"coach_contact_completed",Events!$D$4:$D$1456,"&gt;="&amp;($B682+0),Events!$D$4:$D$1456,"&lt;="&amp;($B682+7))&gt;0,1,0)</x:f>
        <x:v>1</x:v>
      </x:c>
      <x:c r="F682" s="50" t="n">
        <x:f>IF($B682&lt;='Scorecard'!$B$3-37,1,0)</x:f>
        <x:v>1</x:v>
      </x:c>
      <x:c r="G682" s="50" t="n">
        <x:f>IF(COUNTIFS(Events!$B$4:$B$1456,$A682,Events!$C$4:$C$1456,"day30_checkin_completed",Events!$D$4:$D$1456,"&gt;="&amp;($B682+28),Events!$D$4:$D$1456,"&lt;="&amp;($B682+37))&gt;0,1,0)</x:f>
        <x:v>1</x:v>
      </x:c>
      <x:c r="H682" s="50" t="n">
        <x:f>IF($B682&lt;='Scorecard'!$B$3-74,1,0)</x:f>
        <x:v>1</x:v>
      </x:c>
      <x:c r="I682" s="50" t="n">
        <x:f>IF(COUNTIFS(Events!$B$4:$B$1456,$A682,Events!$C$4:$C$1456,"day60_activity_observed",Events!$D$4:$D$1456,"&gt;="&amp;($B682+60),Events!$D$4:$D$1456,"&lt;="&amp;($B682+74))&gt;0,1,0)</x:f>
        <x:v>1</x:v>
      </x:c>
    </x:row>
    <x:row r="683">
      <x:c r="A683" s="50" t="str">
        <x:f>Members!A683</x:f>
        <x:v>SYN0680</x:v>
      </x:c>
      <x:c r="B683" s="51" t="n">
        <x:f>Members!B683</x:f>
        <x:v>46119</x:v>
      </x:c>
      <x:c r="C683" s="50" t="str">
        <x:f>Members!C683</x:f>
        <x:v>Direct</x:v>
      </x:c>
      <x:c r="D683" s="50" t="n">
        <x:f>IF($B683&lt;='Scorecard'!$B$3-7,1,0)</x:f>
        <x:v>1</x:v>
      </x:c>
      <x:c r="E683" s="50" t="n">
        <x:f>IF(COUNTIFS(Events!$B$4:$B$1456,$A683,Events!$C$4:$C$1456,"coach_contact_completed",Events!$D$4:$D$1456,"&gt;="&amp;($B683+0),Events!$D$4:$D$1456,"&lt;="&amp;($B683+7))&gt;0,1,0)</x:f>
        <x:v>0</x:v>
      </x:c>
      <x:c r="F683" s="50" t="n">
        <x:f>IF($B683&lt;='Scorecard'!$B$3-37,1,0)</x:f>
        <x:v>1</x:v>
      </x:c>
      <x:c r="G683" s="50" t="n">
        <x:f>IF(COUNTIFS(Events!$B$4:$B$1456,$A683,Events!$C$4:$C$1456,"day30_checkin_completed",Events!$D$4:$D$1456,"&gt;="&amp;($B683+28),Events!$D$4:$D$1456,"&lt;="&amp;($B683+37))&gt;0,1,0)</x:f>
        <x:v>1</x:v>
      </x:c>
      <x:c r="H683" s="50" t="n">
        <x:f>IF($B683&lt;='Scorecard'!$B$3-74,1,0)</x:f>
        <x:v>1</x:v>
      </x:c>
      <x:c r="I683" s="50" t="n">
        <x:f>IF(COUNTIFS(Events!$B$4:$B$1456,$A683,Events!$C$4:$C$1456,"day60_activity_observed",Events!$D$4:$D$1456,"&gt;="&amp;($B683+60),Events!$D$4:$D$1456,"&lt;="&amp;($B683+74))&gt;0,1,0)</x:f>
        <x:v>1</x:v>
      </x:c>
    </x:row>
    <x:row r="684">
      <x:c r="A684" s="50" t="str">
        <x:f>Members!A684</x:f>
        <x:v>SYN0681</x:v>
      </x:c>
      <x:c r="B684" s="51" t="n">
        <x:f>Members!B684</x:f>
        <x:v>46166</x:v>
      </x:c>
      <x:c r="C684" s="50" t="str">
        <x:f>Members!C684</x:f>
        <x:v>Employer</x:v>
      </x:c>
      <x:c r="D684" s="50" t="n">
        <x:f>IF($B684&lt;='Scorecard'!$B$3-7,1,0)</x:f>
        <x:v>1</x:v>
      </x:c>
      <x:c r="E684" s="50" t="n">
        <x:f>IF(COUNTIFS(Events!$B$4:$B$1456,$A684,Events!$C$4:$C$1456,"coach_contact_completed",Events!$D$4:$D$1456,"&gt;="&amp;($B684+0),Events!$D$4:$D$1456,"&lt;="&amp;($B684+7))&gt;0,1,0)</x:f>
        <x:v>0</x:v>
      </x:c>
      <x:c r="F684" s="50" t="n">
        <x:f>IF($B684&lt;='Scorecard'!$B$3-37,1,0)</x:f>
        <x:v>1</x:v>
      </x:c>
      <x:c r="G684" s="50" t="n">
        <x:f>IF(COUNTIFS(Events!$B$4:$B$1456,$A684,Events!$C$4:$C$1456,"day30_checkin_completed",Events!$D$4:$D$1456,"&gt;="&amp;($B684+28),Events!$D$4:$D$1456,"&lt;="&amp;($B684+37))&gt;0,1,0)</x:f>
        <x:v>1</x:v>
      </x:c>
      <x:c r="H684" s="50" t="n">
        <x:f>IF($B684&lt;='Scorecard'!$B$3-74,1,0)</x:f>
        <x:v>1</x:v>
      </x:c>
      <x:c r="I684" s="50" t="n">
        <x:f>IF(COUNTIFS(Events!$B$4:$B$1456,$A684,Events!$C$4:$C$1456,"day60_activity_observed",Events!$D$4:$D$1456,"&gt;="&amp;($B684+60),Events!$D$4:$D$1456,"&lt;="&amp;($B684+74))&gt;0,1,0)</x:f>
        <x:v>1</x:v>
      </x:c>
    </x:row>
    <x:row r="685">
      <x:c r="A685" s="50" t="str">
        <x:f>Members!A685</x:f>
        <x:v>SYN0682</x:v>
      </x:c>
      <x:c r="B685" s="51" t="n">
        <x:f>Members!B685</x:f>
        <x:v>46047</x:v>
      </x:c>
      <x:c r="C685" s="50" t="str">
        <x:f>Members!C685</x:f>
        <x:v>Employer</x:v>
      </x:c>
      <x:c r="D685" s="50" t="n">
        <x:f>IF($B685&lt;='Scorecard'!$B$3-7,1,0)</x:f>
        <x:v>1</x:v>
      </x:c>
      <x:c r="E685" s="50" t="n">
        <x:f>IF(COUNTIFS(Events!$B$4:$B$1456,$A685,Events!$C$4:$C$1456,"coach_contact_completed",Events!$D$4:$D$1456,"&gt;="&amp;($B685+0),Events!$D$4:$D$1456,"&lt;="&amp;($B685+7))&gt;0,1,0)</x:f>
        <x:v>0</x:v>
      </x:c>
      <x:c r="F685" s="50" t="n">
        <x:f>IF($B685&lt;='Scorecard'!$B$3-37,1,0)</x:f>
        <x:v>1</x:v>
      </x:c>
      <x:c r="G685" s="50" t="n">
        <x:f>IF(COUNTIFS(Events!$B$4:$B$1456,$A685,Events!$C$4:$C$1456,"day30_checkin_completed",Events!$D$4:$D$1456,"&gt;="&amp;($B685+28),Events!$D$4:$D$1456,"&lt;="&amp;($B685+37))&gt;0,1,0)</x:f>
        <x:v>1</x:v>
      </x:c>
      <x:c r="H685" s="50" t="n">
        <x:f>IF($B685&lt;='Scorecard'!$B$3-74,1,0)</x:f>
        <x:v>1</x:v>
      </x:c>
      <x:c r="I685" s="50" t="n">
        <x:f>IF(COUNTIFS(Events!$B$4:$B$1456,$A685,Events!$C$4:$C$1456,"day60_activity_observed",Events!$D$4:$D$1456,"&gt;="&amp;($B685+60),Events!$D$4:$D$1456,"&lt;="&amp;($B685+74))&gt;0,1,0)</x:f>
        <x:v>1</x:v>
      </x:c>
    </x:row>
    <x:row r="686">
      <x:c r="A686" s="50" t="str">
        <x:f>Members!A686</x:f>
        <x:v>SYN0683</x:v>
      </x:c>
      <x:c r="B686" s="51" t="n">
        <x:f>Members!B686</x:f>
        <x:v>46081</x:v>
      </x:c>
      <x:c r="C686" s="50" t="str">
        <x:f>Members!C686</x:f>
        <x:v>Direct</x:v>
      </x:c>
      <x:c r="D686" s="50" t="n">
        <x:f>IF($B686&lt;='Scorecard'!$B$3-7,1,0)</x:f>
        <x:v>1</x:v>
      </x:c>
      <x:c r="E686" s="50" t="n">
        <x:f>IF(COUNTIFS(Events!$B$4:$B$1456,$A686,Events!$C$4:$C$1456,"coach_contact_completed",Events!$D$4:$D$1456,"&gt;="&amp;($B686+0),Events!$D$4:$D$1456,"&lt;="&amp;($B686+7))&gt;0,1,0)</x:f>
        <x:v>1</x:v>
      </x:c>
      <x:c r="F686" s="50" t="n">
        <x:f>IF($B686&lt;='Scorecard'!$B$3-37,1,0)</x:f>
        <x:v>1</x:v>
      </x:c>
      <x:c r="G686" s="50" t="n">
        <x:f>IF(COUNTIFS(Events!$B$4:$B$1456,$A686,Events!$C$4:$C$1456,"day30_checkin_completed",Events!$D$4:$D$1456,"&gt;="&amp;($B686+28),Events!$D$4:$D$1456,"&lt;="&amp;($B686+37))&gt;0,1,0)</x:f>
        <x:v>1</x:v>
      </x:c>
      <x:c r="H686" s="50" t="n">
        <x:f>IF($B686&lt;='Scorecard'!$B$3-74,1,0)</x:f>
        <x:v>1</x:v>
      </x:c>
      <x:c r="I686" s="50" t="n">
        <x:f>IF(COUNTIFS(Events!$B$4:$B$1456,$A686,Events!$C$4:$C$1456,"day60_activity_observed",Events!$D$4:$D$1456,"&gt;="&amp;($B686+60),Events!$D$4:$D$1456,"&lt;="&amp;($B686+74))&gt;0,1,0)</x:f>
        <x:v>1</x:v>
      </x:c>
    </x:row>
    <x:row r="687">
      <x:c r="A687" s="50" t="str">
        <x:f>Members!A687</x:f>
        <x:v>SYN0684</x:v>
      </x:c>
      <x:c r="B687" s="51" t="n">
        <x:f>Members!B687</x:f>
        <x:v>46111</x:v>
      </x:c>
      <x:c r="C687" s="50" t="str">
        <x:f>Members!C687</x:f>
        <x:v>Employer</x:v>
      </x:c>
      <x:c r="D687" s="50" t="n">
        <x:f>IF($B687&lt;='Scorecard'!$B$3-7,1,0)</x:f>
        <x:v>1</x:v>
      </x:c>
      <x:c r="E687" s="50" t="n">
        <x:f>IF(COUNTIFS(Events!$B$4:$B$1456,$A687,Events!$C$4:$C$1456,"coach_contact_completed",Events!$D$4:$D$1456,"&gt;="&amp;($B687+0),Events!$D$4:$D$1456,"&lt;="&amp;($B687+7))&gt;0,1,0)</x:f>
        <x:v>0</x:v>
      </x:c>
      <x:c r="F687" s="50" t="n">
        <x:f>IF($B687&lt;='Scorecard'!$B$3-37,1,0)</x:f>
        <x:v>1</x:v>
      </x:c>
      <x:c r="G687" s="50" t="n">
        <x:f>IF(COUNTIFS(Events!$B$4:$B$1456,$A687,Events!$C$4:$C$1456,"day30_checkin_completed",Events!$D$4:$D$1456,"&gt;="&amp;($B687+28),Events!$D$4:$D$1456,"&lt;="&amp;($B687+37))&gt;0,1,0)</x:f>
        <x:v>0</x:v>
      </x:c>
      <x:c r="H687" s="50" t="n">
        <x:f>IF($B687&lt;='Scorecard'!$B$3-74,1,0)</x:f>
        <x:v>1</x:v>
      </x:c>
      <x:c r="I687" s="50" t="n">
        <x:f>IF(COUNTIFS(Events!$B$4:$B$1456,$A687,Events!$C$4:$C$1456,"day60_activity_observed",Events!$D$4:$D$1456,"&gt;="&amp;($B687+60),Events!$D$4:$D$1456,"&lt;="&amp;($B687+74))&gt;0,1,0)</x:f>
        <x:v>1</x:v>
      </x:c>
    </x:row>
    <x:row r="688">
      <x:c r="A688" s="50" t="str">
        <x:f>Members!A688</x:f>
        <x:v>SYN0685</x:v>
      </x:c>
      <x:c r="B688" s="51" t="n">
        <x:f>Members!B688</x:f>
        <x:v>46148</x:v>
      </x:c>
      <x:c r="C688" s="50" t="str">
        <x:f>Members!C688</x:f>
        <x:v>Direct</x:v>
      </x:c>
      <x:c r="D688" s="50" t="n">
        <x:f>IF($B688&lt;='Scorecard'!$B$3-7,1,0)</x:f>
        <x:v>1</x:v>
      </x:c>
      <x:c r="E688" s="50" t="n">
        <x:f>IF(COUNTIFS(Events!$B$4:$B$1456,$A688,Events!$C$4:$C$1456,"coach_contact_completed",Events!$D$4:$D$1456,"&gt;="&amp;($B688+0),Events!$D$4:$D$1456,"&lt;="&amp;($B688+7))&gt;0,1,0)</x:f>
        <x:v>0</x:v>
      </x:c>
      <x:c r="F688" s="50" t="n">
        <x:f>IF($B688&lt;='Scorecard'!$B$3-37,1,0)</x:f>
        <x:v>1</x:v>
      </x:c>
      <x:c r="G688" s="50" t="n">
        <x:f>IF(COUNTIFS(Events!$B$4:$B$1456,$A688,Events!$C$4:$C$1456,"day30_checkin_completed",Events!$D$4:$D$1456,"&gt;="&amp;($B688+28),Events!$D$4:$D$1456,"&lt;="&amp;($B688+37))&gt;0,1,0)</x:f>
        <x:v>1</x:v>
      </x:c>
      <x:c r="H688" s="50" t="n">
        <x:f>IF($B688&lt;='Scorecard'!$B$3-74,1,0)</x:f>
        <x:v>1</x:v>
      </x:c>
      <x:c r="I688" s="50" t="n">
        <x:f>IF(COUNTIFS(Events!$B$4:$B$1456,$A688,Events!$C$4:$C$1456,"day60_activity_observed",Events!$D$4:$D$1456,"&gt;="&amp;($B688+60),Events!$D$4:$D$1456,"&lt;="&amp;($B688+74))&gt;0,1,0)</x:f>
        <x:v>0</x:v>
      </x:c>
    </x:row>
    <x:row r="689">
      <x:c r="A689" s="50" t="str">
        <x:f>Members!A689</x:f>
        <x:v>SYN0686</x:v>
      </x:c>
      <x:c r="B689" s="51" t="n">
        <x:f>Members!B689</x:f>
        <x:v>46028</x:v>
      </x:c>
      <x:c r="C689" s="50" t="str">
        <x:f>Members!C689</x:f>
        <x:v>Employer</x:v>
      </x:c>
      <x:c r="D689" s="50" t="n">
        <x:f>IF($B689&lt;='Scorecard'!$B$3-7,1,0)</x:f>
        <x:v>1</x:v>
      </x:c>
      <x:c r="E689" s="50" t="n">
        <x:f>IF(COUNTIFS(Events!$B$4:$B$1456,$A689,Events!$C$4:$C$1456,"coach_contact_completed",Events!$D$4:$D$1456,"&gt;="&amp;($B689+0),Events!$D$4:$D$1456,"&lt;="&amp;($B689+7))&gt;0,1,0)</x:f>
        <x:v>1</x:v>
      </x:c>
      <x:c r="F689" s="50" t="n">
        <x:f>IF($B689&lt;='Scorecard'!$B$3-37,1,0)</x:f>
        <x:v>1</x:v>
      </x:c>
      <x:c r="G689" s="50" t="n">
        <x:f>IF(COUNTIFS(Events!$B$4:$B$1456,$A689,Events!$C$4:$C$1456,"day30_checkin_completed",Events!$D$4:$D$1456,"&gt;="&amp;($B689+28),Events!$D$4:$D$1456,"&lt;="&amp;($B689+37))&gt;0,1,0)</x:f>
        <x:v>1</x:v>
      </x:c>
      <x:c r="H689" s="50" t="n">
        <x:f>IF($B689&lt;='Scorecard'!$B$3-74,1,0)</x:f>
        <x:v>1</x:v>
      </x:c>
      <x:c r="I689" s="50" t="n">
        <x:f>IF(COUNTIFS(Events!$B$4:$B$1456,$A689,Events!$C$4:$C$1456,"day60_activity_observed",Events!$D$4:$D$1456,"&gt;="&amp;($B689+60),Events!$D$4:$D$1456,"&lt;="&amp;($B689+74))&gt;0,1,0)</x:f>
        <x:v>1</x:v>
      </x:c>
    </x:row>
    <x:row r="690">
      <x:c r="A690" s="50" t="str">
        <x:f>Members!A690</x:f>
        <x:v>SYN0687</x:v>
      </x:c>
      <x:c r="B690" s="51" t="n">
        <x:f>Members!B690</x:f>
        <x:v>46154</x:v>
      </x:c>
      <x:c r="C690" s="50" t="str">
        <x:f>Members!C690</x:f>
        <x:v>Direct</x:v>
      </x:c>
      <x:c r="D690" s="50" t="n">
        <x:f>IF($B690&lt;='Scorecard'!$B$3-7,1,0)</x:f>
        <x:v>1</x:v>
      </x:c>
      <x:c r="E690" s="50" t="n">
        <x:f>IF(COUNTIFS(Events!$B$4:$B$1456,$A690,Events!$C$4:$C$1456,"coach_contact_completed",Events!$D$4:$D$1456,"&gt;="&amp;($B690+0),Events!$D$4:$D$1456,"&lt;="&amp;($B690+7))&gt;0,1,0)</x:f>
        <x:v>0</x:v>
      </x:c>
      <x:c r="F690" s="50" t="n">
        <x:f>IF($B690&lt;='Scorecard'!$B$3-37,1,0)</x:f>
        <x:v>1</x:v>
      </x:c>
      <x:c r="G690" s="50" t="n">
        <x:f>IF(COUNTIFS(Events!$B$4:$B$1456,$A690,Events!$C$4:$C$1456,"day30_checkin_completed",Events!$D$4:$D$1456,"&gt;="&amp;($B690+28),Events!$D$4:$D$1456,"&lt;="&amp;($B690+37))&gt;0,1,0)</x:f>
        <x:v>1</x:v>
      </x:c>
      <x:c r="H690" s="50" t="n">
        <x:f>IF($B690&lt;='Scorecard'!$B$3-74,1,0)</x:f>
        <x:v>1</x:v>
      </x:c>
      <x:c r="I690" s="50" t="n">
        <x:f>IF(COUNTIFS(Events!$B$4:$B$1456,$A690,Events!$C$4:$C$1456,"day60_activity_observed",Events!$D$4:$D$1456,"&gt;="&amp;($B690+60),Events!$D$4:$D$1456,"&lt;="&amp;($B690+74))&gt;0,1,0)</x:f>
        <x:v>1</x:v>
      </x:c>
    </x:row>
    <x:row r="691">
      <x:c r="A691" s="50" t="str">
        <x:f>Members!A691</x:f>
        <x:v>SYN0688</x:v>
      </x:c>
      <x:c r="B691" s="51" t="n">
        <x:f>Members!B691</x:f>
        <x:v>46263</x:v>
      </x:c>
      <x:c r="C691" s="50" t="str">
        <x:f>Members!C691</x:f>
        <x:v>Employer</x:v>
      </x:c>
      <x:c r="D691" s="50" t="n">
        <x:f>IF($B691&lt;='Scorecard'!$B$3-7,1,0)</x:f>
        <x:v>1</x:v>
      </x:c>
      <x:c r="E691" s="50" t="n">
        <x:f>IF(COUNTIFS(Events!$B$4:$B$1456,$A691,Events!$C$4:$C$1456,"coach_contact_completed",Events!$D$4:$D$1456,"&gt;="&amp;($B691+0),Events!$D$4:$D$1456,"&lt;="&amp;($B691+7))&gt;0,1,0)</x:f>
        <x:v>1</x:v>
      </x:c>
      <x:c r="F691" s="50" t="n">
        <x:f>IF($B691&lt;='Scorecard'!$B$3-37,1,0)</x:f>
        <x:v>0</x:v>
      </x:c>
      <x:c r="G691" s="50" t="n">
        <x:f>IF(COUNTIFS(Events!$B$4:$B$1456,$A691,Events!$C$4:$C$1456,"day30_checkin_completed",Events!$D$4:$D$1456,"&gt;="&amp;($B691+28),Events!$D$4:$D$1456,"&lt;="&amp;($B691+37))&gt;0,1,0)</x:f>
        <x:v>0</x:v>
      </x:c>
      <x:c r="H691" s="50" t="n">
        <x:f>IF($B691&lt;='Scorecard'!$B$3-74,1,0)</x:f>
        <x:v>0</x:v>
      </x:c>
      <x:c r="I691" s="50" t="n">
        <x:f>IF(COUNTIFS(Events!$B$4:$B$1456,$A691,Events!$C$4:$C$1456,"day60_activity_observed",Events!$D$4:$D$1456,"&gt;="&amp;($B691+60),Events!$D$4:$D$1456,"&lt;="&amp;($B691+74))&gt;0,1,0)</x:f>
        <x:v>0</x:v>
      </x:c>
    </x:row>
    <x:row r="692">
      <x:c r="A692" s="50" t="str">
        <x:f>Members!A692</x:f>
        <x:v>SYN0689</x:v>
      </x:c>
      <x:c r="B692" s="51" t="n">
        <x:f>Members!B692</x:f>
        <x:v>46237</x:v>
      </x:c>
      <x:c r="C692" s="50" t="str">
        <x:f>Members!C692</x:f>
        <x:v>Direct</x:v>
      </x:c>
      <x:c r="D692" s="50" t="n">
        <x:f>IF($B692&lt;='Scorecard'!$B$3-7,1,0)</x:f>
        <x:v>1</x:v>
      </x:c>
      <x:c r="E692" s="50" t="n">
        <x:f>IF(COUNTIFS(Events!$B$4:$B$1456,$A692,Events!$C$4:$C$1456,"coach_contact_completed",Events!$D$4:$D$1456,"&gt;="&amp;($B692+0),Events!$D$4:$D$1456,"&lt;="&amp;($B692+7))&gt;0,1,0)</x:f>
        <x:v>0</x:v>
      </x:c>
      <x:c r="F692" s="50" t="n">
        <x:f>IF($B692&lt;='Scorecard'!$B$3-37,1,0)</x:f>
        <x:v>1</x:v>
      </x:c>
      <x:c r="G692" s="50" t="n">
        <x:f>IF(COUNTIFS(Events!$B$4:$B$1456,$A692,Events!$C$4:$C$1456,"day30_checkin_completed",Events!$D$4:$D$1456,"&gt;="&amp;($B692+28),Events!$D$4:$D$1456,"&lt;="&amp;($B692+37))&gt;0,1,0)</x:f>
        <x:v>1</x:v>
      </x:c>
      <x:c r="H692" s="50" t="n">
        <x:f>IF($B692&lt;='Scorecard'!$B$3-74,1,0)</x:f>
        <x:v>0</x:v>
      </x:c>
      <x:c r="I692" s="50" t="n">
        <x:f>IF(COUNTIFS(Events!$B$4:$B$1456,$A692,Events!$C$4:$C$1456,"day60_activity_observed",Events!$D$4:$D$1456,"&gt;="&amp;($B692+60),Events!$D$4:$D$1456,"&lt;="&amp;($B692+74))&gt;0,1,0)</x:f>
        <x:v>0</x:v>
      </x:c>
    </x:row>
    <x:row r="693">
      <x:c r="A693" s="50" t="str">
        <x:f>Members!A693</x:f>
        <x:v>SYN0690</x:v>
      </x:c>
      <x:c r="B693" s="51" t="n">
        <x:f>Members!B693</x:f>
        <x:v>46258</x:v>
      </x:c>
      <x:c r="C693" s="50" t="str">
        <x:f>Members!C693</x:f>
        <x:v>Direct</x:v>
      </x:c>
      <x:c r="D693" s="50" t="n">
        <x:f>IF($B693&lt;='Scorecard'!$B$3-7,1,0)</x:f>
        <x:v>1</x:v>
      </x:c>
      <x:c r="E693" s="50" t="n">
        <x:f>IF(COUNTIFS(Events!$B$4:$B$1456,$A693,Events!$C$4:$C$1456,"coach_contact_completed",Events!$D$4:$D$1456,"&gt;="&amp;($B693+0),Events!$D$4:$D$1456,"&lt;="&amp;($B693+7))&gt;0,1,0)</x:f>
        <x:v>1</x:v>
      </x:c>
      <x:c r="F693" s="50" t="n">
        <x:f>IF($B693&lt;='Scorecard'!$B$3-37,1,0)</x:f>
        <x:v>1</x:v>
      </x:c>
      <x:c r="G693" s="50" t="n">
        <x:f>IF(COUNTIFS(Events!$B$4:$B$1456,$A693,Events!$C$4:$C$1456,"day30_checkin_completed",Events!$D$4:$D$1456,"&gt;="&amp;($B693+28),Events!$D$4:$D$1456,"&lt;="&amp;($B693+37))&gt;0,1,0)</x:f>
        <x:v>1</x:v>
      </x:c>
      <x:c r="H693" s="50" t="n">
        <x:f>IF($B693&lt;='Scorecard'!$B$3-74,1,0)</x:f>
        <x:v>0</x:v>
      </x:c>
      <x:c r="I693" s="50" t="n">
        <x:f>IF(COUNTIFS(Events!$B$4:$B$1456,$A693,Events!$C$4:$C$1456,"day60_activity_observed",Events!$D$4:$D$1456,"&gt;="&amp;($B693+60),Events!$D$4:$D$1456,"&lt;="&amp;($B693+74))&gt;0,1,0)</x:f>
        <x:v>0</x:v>
      </x:c>
    </x:row>
    <x:row r="694">
      <x:c r="A694" s="50" t="str">
        <x:f>Members!A694</x:f>
        <x:v>SYN0691</x:v>
      </x:c>
      <x:c r="B694" s="51" t="n">
        <x:f>Members!B694</x:f>
        <x:v>46089</x:v>
      </x:c>
      <x:c r="C694" s="50" t="str">
        <x:f>Members!C694</x:f>
        <x:v>Direct</x:v>
      </x:c>
      <x:c r="D694" s="50" t="n">
        <x:f>IF($B694&lt;='Scorecard'!$B$3-7,1,0)</x:f>
        <x:v>1</x:v>
      </x:c>
      <x:c r="E694" s="50" t="n">
        <x:f>IF(COUNTIFS(Events!$B$4:$B$1456,$A694,Events!$C$4:$C$1456,"coach_contact_completed",Events!$D$4:$D$1456,"&gt;="&amp;($B694+0),Events!$D$4:$D$1456,"&lt;="&amp;($B694+7))&gt;0,1,0)</x:f>
        <x:v>0</x:v>
      </x:c>
      <x:c r="F694" s="50" t="n">
        <x:f>IF($B694&lt;='Scorecard'!$B$3-37,1,0)</x:f>
        <x:v>1</x:v>
      </x:c>
      <x:c r="G694" s="50" t="n">
        <x:f>IF(COUNTIFS(Events!$B$4:$B$1456,$A694,Events!$C$4:$C$1456,"day30_checkin_completed",Events!$D$4:$D$1456,"&gt;="&amp;($B694+28),Events!$D$4:$D$1456,"&lt;="&amp;($B694+37))&gt;0,1,0)</x:f>
        <x:v>1</x:v>
      </x:c>
      <x:c r="H694" s="50" t="n">
        <x:f>IF($B694&lt;='Scorecard'!$B$3-74,1,0)</x:f>
        <x:v>1</x:v>
      </x:c>
      <x:c r="I694" s="50" t="n">
        <x:f>IF(COUNTIFS(Events!$B$4:$B$1456,$A694,Events!$C$4:$C$1456,"day60_activity_observed",Events!$D$4:$D$1456,"&gt;="&amp;($B694+60),Events!$D$4:$D$1456,"&lt;="&amp;($B694+74))&gt;0,1,0)</x:f>
        <x:v>1</x:v>
      </x:c>
    </x:row>
    <x:row r="695">
      <x:c r="A695" s="50" t="str">
        <x:f>Members!A695</x:f>
        <x:v>SYN0692</x:v>
      </x:c>
      <x:c r="B695" s="51" t="n">
        <x:f>Members!B695</x:f>
        <x:v>46197</x:v>
      </x:c>
      <x:c r="C695" s="50" t="str">
        <x:f>Members!C695</x:f>
        <x:v>Employer</x:v>
      </x:c>
      <x:c r="D695" s="50" t="n">
        <x:f>IF($B695&lt;='Scorecard'!$B$3-7,1,0)</x:f>
        <x:v>1</x:v>
      </x:c>
      <x:c r="E695" s="50" t="n">
        <x:f>IF(COUNTIFS(Events!$B$4:$B$1456,$A695,Events!$C$4:$C$1456,"coach_contact_completed",Events!$D$4:$D$1456,"&gt;="&amp;($B695+0),Events!$D$4:$D$1456,"&lt;="&amp;($B695+7))&gt;0,1,0)</x:f>
        <x:v>1</x:v>
      </x:c>
      <x:c r="F695" s="50" t="n">
        <x:f>IF($B695&lt;='Scorecard'!$B$3-37,1,0)</x:f>
        <x:v>1</x:v>
      </x:c>
      <x:c r="G695" s="50" t="n">
        <x:f>IF(COUNTIFS(Events!$B$4:$B$1456,$A695,Events!$C$4:$C$1456,"day30_checkin_completed",Events!$D$4:$D$1456,"&gt;="&amp;($B695+28),Events!$D$4:$D$1456,"&lt;="&amp;($B695+37))&gt;0,1,0)</x:f>
        <x:v>1</x:v>
      </x:c>
      <x:c r="H695" s="50" t="n">
        <x:f>IF($B695&lt;='Scorecard'!$B$3-74,1,0)</x:f>
        <x:v>1</x:v>
      </x:c>
      <x:c r="I695" s="50" t="n">
        <x:f>IF(COUNTIFS(Events!$B$4:$B$1456,$A695,Events!$C$4:$C$1456,"day60_activity_observed",Events!$D$4:$D$1456,"&gt;="&amp;($B695+60),Events!$D$4:$D$1456,"&lt;="&amp;($B695+74))&gt;0,1,0)</x:f>
        <x:v>1</x:v>
      </x:c>
    </x:row>
    <x:row r="696">
      <x:c r="A696" s="50" t="str">
        <x:f>Members!A696</x:f>
        <x:v>SYN0693</x:v>
      </x:c>
      <x:c r="B696" s="51" t="n">
        <x:f>Members!B696</x:f>
        <x:v>46115</x:v>
      </x:c>
      <x:c r="C696" s="50" t="str">
        <x:f>Members!C696</x:f>
        <x:v>Direct</x:v>
      </x:c>
      <x:c r="D696" s="50" t="n">
        <x:f>IF($B696&lt;='Scorecard'!$B$3-7,1,0)</x:f>
        <x:v>1</x:v>
      </x:c>
      <x:c r="E696" s="50" t="n">
        <x:f>IF(COUNTIFS(Events!$B$4:$B$1456,$A696,Events!$C$4:$C$1456,"coach_contact_completed",Events!$D$4:$D$1456,"&gt;="&amp;($B696+0),Events!$D$4:$D$1456,"&lt;="&amp;($B696+7))&gt;0,1,0)</x:f>
        <x:v>0</x:v>
      </x:c>
      <x:c r="F696" s="50" t="n">
        <x:f>IF($B696&lt;='Scorecard'!$B$3-37,1,0)</x:f>
        <x:v>1</x:v>
      </x:c>
      <x:c r="G696" s="50" t="n">
        <x:f>IF(COUNTIFS(Events!$B$4:$B$1456,$A696,Events!$C$4:$C$1456,"day30_checkin_completed",Events!$D$4:$D$1456,"&gt;="&amp;($B696+28),Events!$D$4:$D$1456,"&lt;="&amp;($B696+37))&gt;0,1,0)</x:f>
        <x:v>1</x:v>
      </x:c>
      <x:c r="H696" s="50" t="n">
        <x:f>IF($B696&lt;='Scorecard'!$B$3-74,1,0)</x:f>
        <x:v>1</x:v>
      </x:c>
      <x:c r="I696" s="50" t="n">
        <x:f>IF(COUNTIFS(Events!$B$4:$B$1456,$A696,Events!$C$4:$C$1456,"day60_activity_observed",Events!$D$4:$D$1456,"&gt;="&amp;($B696+60),Events!$D$4:$D$1456,"&lt;="&amp;($B696+74))&gt;0,1,0)</x:f>
        <x:v>1</x:v>
      </x:c>
    </x:row>
    <x:row r="697">
      <x:c r="A697" s="50" t="str">
        <x:f>Members!A697</x:f>
        <x:v>SYN0694</x:v>
      </x:c>
      <x:c r="B697" s="51" t="n">
        <x:f>Members!B697</x:f>
        <x:v>46093</x:v>
      </x:c>
      <x:c r="C697" s="50" t="str">
        <x:f>Members!C697</x:f>
        <x:v>Direct</x:v>
      </x:c>
      <x:c r="D697" s="50" t="n">
        <x:f>IF($B697&lt;='Scorecard'!$B$3-7,1,0)</x:f>
        <x:v>1</x:v>
      </x:c>
      <x:c r="E697" s="50" t="n">
        <x:f>IF(COUNTIFS(Events!$B$4:$B$1456,$A697,Events!$C$4:$C$1456,"coach_contact_completed",Events!$D$4:$D$1456,"&gt;="&amp;($B697+0),Events!$D$4:$D$1456,"&lt;="&amp;($B697+7))&gt;0,1,0)</x:f>
        <x:v>0</x:v>
      </x:c>
      <x:c r="F697" s="50" t="n">
        <x:f>IF($B697&lt;='Scorecard'!$B$3-37,1,0)</x:f>
        <x:v>1</x:v>
      </x:c>
      <x:c r="G697" s="50" t="n">
        <x:f>IF(COUNTIFS(Events!$B$4:$B$1456,$A697,Events!$C$4:$C$1456,"day30_checkin_completed",Events!$D$4:$D$1456,"&gt;="&amp;($B697+28),Events!$D$4:$D$1456,"&lt;="&amp;($B697+37))&gt;0,1,0)</x:f>
        <x:v>0</x:v>
      </x:c>
      <x:c r="H697" s="50" t="n">
        <x:f>IF($B697&lt;='Scorecard'!$B$3-74,1,0)</x:f>
        <x:v>1</x:v>
      </x:c>
      <x:c r="I697" s="50" t="n">
        <x:f>IF(COUNTIFS(Events!$B$4:$B$1456,$A697,Events!$C$4:$C$1456,"day60_activity_observed",Events!$D$4:$D$1456,"&gt;="&amp;($B697+60),Events!$D$4:$D$1456,"&lt;="&amp;($B697+74))&gt;0,1,0)</x:f>
        <x:v>1</x:v>
      </x:c>
    </x:row>
    <x:row r="698">
      <x:c r="A698" s="50" t="str">
        <x:f>Members!A698</x:f>
        <x:v>SYN0695</x:v>
      </x:c>
      <x:c r="B698" s="51" t="n">
        <x:f>Members!B698</x:f>
        <x:v>46246</x:v>
      </x:c>
      <x:c r="C698" s="50" t="str">
        <x:f>Members!C698</x:f>
        <x:v>Direct</x:v>
      </x:c>
      <x:c r="D698" s="50" t="n">
        <x:f>IF($B698&lt;='Scorecard'!$B$3-7,1,0)</x:f>
        <x:v>1</x:v>
      </x:c>
      <x:c r="E698" s="50" t="n">
        <x:f>IF(COUNTIFS(Events!$B$4:$B$1456,$A698,Events!$C$4:$C$1456,"coach_contact_completed",Events!$D$4:$D$1456,"&gt;="&amp;($B698+0),Events!$D$4:$D$1456,"&lt;="&amp;($B698+7))&gt;0,1,0)</x:f>
        <x:v>1</x:v>
      </x:c>
      <x:c r="F698" s="50" t="n">
        <x:f>IF($B698&lt;='Scorecard'!$B$3-37,1,0)</x:f>
        <x:v>1</x:v>
      </x:c>
      <x:c r="G698" s="50" t="n">
        <x:f>IF(COUNTIFS(Events!$B$4:$B$1456,$A698,Events!$C$4:$C$1456,"day30_checkin_completed",Events!$D$4:$D$1456,"&gt;="&amp;($B698+28),Events!$D$4:$D$1456,"&lt;="&amp;($B698+37))&gt;0,1,0)</x:f>
        <x:v>1</x:v>
      </x:c>
      <x:c r="H698" s="50" t="n">
        <x:f>IF($B698&lt;='Scorecard'!$B$3-74,1,0)</x:f>
        <x:v>0</x:v>
      </x:c>
      <x:c r="I698" s="50" t="n">
        <x:f>IF(COUNTIFS(Events!$B$4:$B$1456,$A698,Events!$C$4:$C$1456,"day60_activity_observed",Events!$D$4:$D$1456,"&gt;="&amp;($B698+60),Events!$D$4:$D$1456,"&lt;="&amp;($B698+74))&gt;0,1,0)</x:f>
        <x:v>0</x:v>
      </x:c>
    </x:row>
    <x:row r="699">
      <x:c r="A699" s="50" t="str">
        <x:f>Members!A699</x:f>
        <x:v>SYN0696</x:v>
      </x:c>
      <x:c r="B699" s="51" t="n">
        <x:f>Members!B699</x:f>
        <x:v>46184</x:v>
      </x:c>
      <x:c r="C699" s="50" t="str">
        <x:f>Members!C699</x:f>
        <x:v>Employer</x:v>
      </x:c>
      <x:c r="D699" s="50" t="n">
        <x:f>IF($B699&lt;='Scorecard'!$B$3-7,1,0)</x:f>
        <x:v>1</x:v>
      </x:c>
      <x:c r="E699" s="50" t="n">
        <x:f>IF(COUNTIFS(Events!$B$4:$B$1456,$A699,Events!$C$4:$C$1456,"coach_contact_completed",Events!$D$4:$D$1456,"&gt;="&amp;($B699+0),Events!$D$4:$D$1456,"&lt;="&amp;($B699+7))&gt;0,1,0)</x:f>
        <x:v>0</x:v>
      </x:c>
      <x:c r="F699" s="50" t="n">
        <x:f>IF($B699&lt;='Scorecard'!$B$3-37,1,0)</x:f>
        <x:v>1</x:v>
      </x:c>
      <x:c r="G699" s="50" t="n">
        <x:f>IF(COUNTIFS(Events!$B$4:$B$1456,$A699,Events!$C$4:$C$1456,"day30_checkin_completed",Events!$D$4:$D$1456,"&gt;="&amp;($B699+28),Events!$D$4:$D$1456,"&lt;="&amp;($B699+37))&gt;0,1,0)</x:f>
        <x:v>1</x:v>
      </x:c>
      <x:c r="H699" s="50" t="n">
        <x:f>IF($B699&lt;='Scorecard'!$B$3-74,1,0)</x:f>
        <x:v>1</x:v>
      </x:c>
      <x:c r="I699" s="50" t="n">
        <x:f>IF(COUNTIFS(Events!$B$4:$B$1456,$A699,Events!$C$4:$C$1456,"day60_activity_observed",Events!$D$4:$D$1456,"&gt;="&amp;($B699+60),Events!$D$4:$D$1456,"&lt;="&amp;($B699+74))&gt;0,1,0)</x:f>
        <x:v>1</x:v>
      </x:c>
    </x:row>
    <x:row r="700">
      <x:c r="A700" s="50" t="str">
        <x:f>Members!A700</x:f>
        <x:v>SYN0697</x:v>
      </x:c>
      <x:c r="B700" s="51" t="n">
        <x:f>Members!B700</x:f>
        <x:v>46165</x:v>
      </x:c>
      <x:c r="C700" s="50" t="str">
        <x:f>Members!C700</x:f>
        <x:v>Direct</x:v>
      </x:c>
      <x:c r="D700" s="50" t="n">
        <x:f>IF($B700&lt;='Scorecard'!$B$3-7,1,0)</x:f>
        <x:v>1</x:v>
      </x:c>
      <x:c r="E700" s="50" t="n">
        <x:f>IF(COUNTIFS(Events!$B$4:$B$1456,$A700,Events!$C$4:$C$1456,"coach_contact_completed",Events!$D$4:$D$1456,"&gt;="&amp;($B700+0),Events!$D$4:$D$1456,"&lt;="&amp;($B700+7))&gt;0,1,0)</x:f>
        <x:v>1</x:v>
      </x:c>
      <x:c r="F700" s="50" t="n">
        <x:f>IF($B700&lt;='Scorecard'!$B$3-37,1,0)</x:f>
        <x:v>1</x:v>
      </x:c>
      <x:c r="G700" s="50" t="n">
        <x:f>IF(COUNTIFS(Events!$B$4:$B$1456,$A700,Events!$C$4:$C$1456,"day30_checkin_completed",Events!$D$4:$D$1456,"&gt;="&amp;($B700+28),Events!$D$4:$D$1456,"&lt;="&amp;($B700+37))&gt;0,1,0)</x:f>
        <x:v>1</x:v>
      </x:c>
      <x:c r="H700" s="50" t="n">
        <x:f>IF($B700&lt;='Scorecard'!$B$3-74,1,0)</x:f>
        <x:v>1</x:v>
      </x:c>
      <x:c r="I700" s="50" t="n">
        <x:f>IF(COUNTIFS(Events!$B$4:$B$1456,$A700,Events!$C$4:$C$1456,"day60_activity_observed",Events!$D$4:$D$1456,"&gt;="&amp;($B700+60),Events!$D$4:$D$1456,"&lt;="&amp;($B700+74))&gt;0,1,0)</x:f>
        <x:v>1</x:v>
      </x:c>
    </x:row>
    <x:row r="701">
      <x:c r="A701" s="50" t="str">
        <x:f>Members!A701</x:f>
        <x:v>SYN0698</x:v>
      </x:c>
      <x:c r="B701" s="51" t="n">
        <x:f>Members!B701</x:f>
        <x:v>46176</x:v>
      </x:c>
      <x:c r="C701" s="50" t="str">
        <x:f>Members!C701</x:f>
        <x:v>Employer</x:v>
      </x:c>
      <x:c r="D701" s="50" t="n">
        <x:f>IF($B701&lt;='Scorecard'!$B$3-7,1,0)</x:f>
        <x:v>1</x:v>
      </x:c>
      <x:c r="E701" s="50" t="n">
        <x:f>IF(COUNTIFS(Events!$B$4:$B$1456,$A701,Events!$C$4:$C$1456,"coach_contact_completed",Events!$D$4:$D$1456,"&gt;="&amp;($B701+0),Events!$D$4:$D$1456,"&lt;="&amp;($B701+7))&gt;0,1,0)</x:f>
        <x:v>0</x:v>
      </x:c>
      <x:c r="F701" s="50" t="n">
        <x:f>IF($B701&lt;='Scorecard'!$B$3-37,1,0)</x:f>
        <x:v>1</x:v>
      </x:c>
      <x:c r="G701" s="50" t="n">
        <x:f>IF(COUNTIFS(Events!$B$4:$B$1456,$A701,Events!$C$4:$C$1456,"day30_checkin_completed",Events!$D$4:$D$1456,"&gt;="&amp;($B701+28),Events!$D$4:$D$1456,"&lt;="&amp;($B701+37))&gt;0,1,0)</x:f>
        <x:v>1</x:v>
      </x:c>
      <x:c r="H701" s="50" t="n">
        <x:f>IF($B701&lt;='Scorecard'!$B$3-74,1,0)</x:f>
        <x:v>1</x:v>
      </x:c>
      <x:c r="I701" s="50" t="n">
        <x:f>IF(COUNTIFS(Events!$B$4:$B$1456,$A701,Events!$C$4:$C$1456,"day60_activity_observed",Events!$D$4:$D$1456,"&gt;="&amp;($B701+60),Events!$D$4:$D$1456,"&lt;="&amp;($B701+74))&gt;0,1,0)</x:f>
        <x:v>1</x:v>
      </x:c>
    </x:row>
    <x:row r="702">
      <x:c r="A702" s="50" t="str">
        <x:f>Members!A702</x:f>
        <x:v>SYN0699</x:v>
      </x:c>
      <x:c r="B702" s="51" t="n">
        <x:f>Members!B702</x:f>
        <x:v>46262</x:v>
      </x:c>
      <x:c r="C702" s="50" t="str">
        <x:f>Members!C702</x:f>
        <x:v>Employer</x:v>
      </x:c>
      <x:c r="D702" s="50" t="n">
        <x:f>IF($B702&lt;='Scorecard'!$B$3-7,1,0)</x:f>
        <x:v>1</x:v>
      </x:c>
      <x:c r="E702" s="50" t="n">
        <x:f>IF(COUNTIFS(Events!$B$4:$B$1456,$A702,Events!$C$4:$C$1456,"coach_contact_completed",Events!$D$4:$D$1456,"&gt;="&amp;($B702+0),Events!$D$4:$D$1456,"&lt;="&amp;($B702+7))&gt;0,1,0)</x:f>
        <x:v>1</x:v>
      </x:c>
      <x:c r="F702" s="50" t="n">
        <x:f>IF($B702&lt;='Scorecard'!$B$3-37,1,0)</x:f>
        <x:v>0</x:v>
      </x:c>
      <x:c r="G702" s="50" t="n">
        <x:f>IF(COUNTIFS(Events!$B$4:$B$1456,$A702,Events!$C$4:$C$1456,"day30_checkin_completed",Events!$D$4:$D$1456,"&gt;="&amp;($B702+28),Events!$D$4:$D$1456,"&lt;="&amp;($B702+37))&gt;0,1,0)</x:f>
        <x:v>0</x:v>
      </x:c>
      <x:c r="H702" s="50" t="n">
        <x:f>IF($B702&lt;='Scorecard'!$B$3-74,1,0)</x:f>
        <x:v>0</x:v>
      </x:c>
      <x:c r="I702" s="50" t="n">
        <x:f>IF(COUNTIFS(Events!$B$4:$B$1456,$A702,Events!$C$4:$C$1456,"day60_activity_observed",Events!$D$4:$D$1456,"&gt;="&amp;($B702+60),Events!$D$4:$D$1456,"&lt;="&amp;($B702+74))&gt;0,1,0)</x:f>
        <x:v>0</x:v>
      </x:c>
    </x:row>
    <x:row r="703">
      <x:c r="A703" s="50" t="str">
        <x:f>Members!A703</x:f>
        <x:v>SYN0700</x:v>
      </x:c>
      <x:c r="B703" s="51" t="n">
        <x:f>Members!B703</x:f>
        <x:v>46205</x:v>
      </x:c>
      <x:c r="C703" s="50" t="str">
        <x:f>Members!C703</x:f>
        <x:v>Direct</x:v>
      </x:c>
      <x:c r="D703" s="50" t="n">
        <x:f>IF($B703&lt;='Scorecard'!$B$3-7,1,0)</x:f>
        <x:v>1</x:v>
      </x:c>
      <x:c r="E703" s="50" t="n">
        <x:f>IF(COUNTIFS(Events!$B$4:$B$1456,$A703,Events!$C$4:$C$1456,"coach_contact_completed",Events!$D$4:$D$1456,"&gt;="&amp;($B703+0),Events!$D$4:$D$1456,"&lt;="&amp;($B703+7))&gt;0,1,0)</x:f>
        <x:v>1</x:v>
      </x:c>
      <x:c r="F703" s="50" t="n">
        <x:f>IF($B703&lt;='Scorecard'!$B$3-37,1,0)</x:f>
        <x:v>1</x:v>
      </x:c>
      <x:c r="G703" s="50" t="n">
        <x:f>IF(COUNTIFS(Events!$B$4:$B$1456,$A703,Events!$C$4:$C$1456,"day30_checkin_completed",Events!$D$4:$D$1456,"&gt;="&amp;($B703+28),Events!$D$4:$D$1456,"&lt;="&amp;($B703+37))&gt;0,1,0)</x:f>
        <x:v>1</x:v>
      </x:c>
      <x:c r="H703" s="50" t="n">
        <x:f>IF($B703&lt;='Scorecard'!$B$3-74,1,0)</x:f>
        <x:v>1</x:v>
      </x:c>
      <x:c r="I703" s="50" t="n">
        <x:f>IF(COUNTIFS(Events!$B$4:$B$1456,$A703,Events!$C$4:$C$1456,"day60_activity_observed",Events!$D$4:$D$1456,"&gt;="&amp;($B703+60),Events!$D$4:$D$1456,"&lt;="&amp;($B703+74))&gt;0,1,0)</x:f>
        <x:v>1</x:v>
      </x:c>
    </x:row>
    <x:row r="704">
      <x:c r="A704" s="50" t="str">
        <x:f>Members!A704</x:f>
        <x:v>SYN0701</x:v>
      </x:c>
      <x:c r="B704" s="51" t="n">
        <x:f>Members!B704</x:f>
        <x:v>46257</x:v>
      </x:c>
      <x:c r="C704" s="50" t="str">
        <x:f>Members!C704</x:f>
        <x:v>Direct</x:v>
      </x:c>
      <x:c r="D704" s="50" t="n">
        <x:f>IF($B704&lt;='Scorecard'!$B$3-7,1,0)</x:f>
        <x:v>1</x:v>
      </x:c>
      <x:c r="E704" s="50" t="n">
        <x:f>IF(COUNTIFS(Events!$B$4:$B$1456,$A704,Events!$C$4:$C$1456,"coach_contact_completed",Events!$D$4:$D$1456,"&gt;="&amp;($B704+0),Events!$D$4:$D$1456,"&lt;="&amp;($B704+7))&gt;0,1,0)</x:f>
        <x:v>1</x:v>
      </x:c>
      <x:c r="F704" s="50" t="n">
        <x:f>IF($B704&lt;='Scorecard'!$B$3-37,1,0)</x:f>
        <x:v>1</x:v>
      </x:c>
      <x:c r="G704" s="50" t="n">
        <x:f>IF(COUNTIFS(Events!$B$4:$B$1456,$A704,Events!$C$4:$C$1456,"day30_checkin_completed",Events!$D$4:$D$1456,"&gt;="&amp;($B704+28),Events!$D$4:$D$1456,"&lt;="&amp;($B704+37))&gt;0,1,0)</x:f>
        <x:v>1</x:v>
      </x:c>
      <x:c r="H704" s="50" t="n">
        <x:f>IF($B704&lt;='Scorecard'!$B$3-74,1,0)</x:f>
        <x:v>0</x:v>
      </x:c>
      <x:c r="I704" s="50" t="n">
        <x:f>IF(COUNTIFS(Events!$B$4:$B$1456,$A704,Events!$C$4:$C$1456,"day60_activity_observed",Events!$D$4:$D$1456,"&gt;="&amp;($B704+60),Events!$D$4:$D$1456,"&lt;="&amp;($B704+74))&gt;0,1,0)</x:f>
        <x:v>0</x:v>
      </x:c>
    </x:row>
    <x:row r="705">
      <x:c r="A705" s="50" t="str">
        <x:f>Members!A705</x:f>
        <x:v>SYN0702</x:v>
      </x:c>
      <x:c r="B705" s="51" t="n">
        <x:f>Members!B705</x:f>
        <x:v>46102</x:v>
      </x:c>
      <x:c r="C705" s="50" t="str">
        <x:f>Members!C705</x:f>
        <x:v>Employer</x:v>
      </x:c>
      <x:c r="D705" s="50" t="n">
        <x:f>IF($B705&lt;='Scorecard'!$B$3-7,1,0)</x:f>
        <x:v>1</x:v>
      </x:c>
      <x:c r="E705" s="50" t="n">
        <x:f>IF(COUNTIFS(Events!$B$4:$B$1456,$A705,Events!$C$4:$C$1456,"coach_contact_completed",Events!$D$4:$D$1456,"&gt;="&amp;($B705+0),Events!$D$4:$D$1456,"&lt;="&amp;($B705+7))&gt;0,1,0)</x:f>
        <x:v>0</x:v>
      </x:c>
      <x:c r="F705" s="50" t="n">
        <x:f>IF($B705&lt;='Scorecard'!$B$3-37,1,0)</x:f>
        <x:v>1</x:v>
      </x:c>
      <x:c r="G705" s="50" t="n">
        <x:f>IF(COUNTIFS(Events!$B$4:$B$1456,$A705,Events!$C$4:$C$1456,"day30_checkin_completed",Events!$D$4:$D$1456,"&gt;="&amp;($B705+28),Events!$D$4:$D$1456,"&lt;="&amp;($B705+37))&gt;0,1,0)</x:f>
        <x:v>1</x:v>
      </x:c>
      <x:c r="H705" s="50" t="n">
        <x:f>IF($B705&lt;='Scorecard'!$B$3-74,1,0)</x:f>
        <x:v>1</x:v>
      </x:c>
      <x:c r="I705" s="50" t="n">
        <x:f>IF(COUNTIFS(Events!$B$4:$B$1456,$A705,Events!$C$4:$C$1456,"day60_activity_observed",Events!$D$4:$D$1456,"&gt;="&amp;($B705+60),Events!$D$4:$D$1456,"&lt;="&amp;($B705+74))&gt;0,1,0)</x:f>
        <x:v>0</x:v>
      </x:c>
    </x:row>
    <x:row r="706">
      <x:c r="A706" s="50" t="str">
        <x:f>Members!A706</x:f>
        <x:v>SYN0703</x:v>
      </x:c>
      <x:c r="B706" s="51" t="n">
        <x:f>Members!B706</x:f>
        <x:v>46223</x:v>
      </x:c>
      <x:c r="C706" s="50" t="str">
        <x:f>Members!C706</x:f>
        <x:v>Direct</x:v>
      </x:c>
      <x:c r="D706" s="50" t="n">
        <x:f>IF($B706&lt;='Scorecard'!$B$3-7,1,0)</x:f>
        <x:v>1</x:v>
      </x:c>
      <x:c r="E706" s="50" t="n">
        <x:f>IF(COUNTIFS(Events!$B$4:$B$1456,$A706,Events!$C$4:$C$1456,"coach_contact_completed",Events!$D$4:$D$1456,"&gt;="&amp;($B706+0),Events!$D$4:$D$1456,"&lt;="&amp;($B706+7))&gt;0,1,0)</x:f>
        <x:v>1</x:v>
      </x:c>
      <x:c r="F706" s="50" t="n">
        <x:f>IF($B706&lt;='Scorecard'!$B$3-37,1,0)</x:f>
        <x:v>1</x:v>
      </x:c>
      <x:c r="G706" s="50" t="n">
        <x:f>IF(COUNTIFS(Events!$B$4:$B$1456,$A706,Events!$C$4:$C$1456,"day30_checkin_completed",Events!$D$4:$D$1456,"&gt;="&amp;($B706+28),Events!$D$4:$D$1456,"&lt;="&amp;($B706+37))&gt;0,1,0)</x:f>
        <x:v>0</x:v>
      </x:c>
      <x:c r="H706" s="50" t="n">
        <x:f>IF($B706&lt;='Scorecard'!$B$3-74,1,0)</x:f>
        <x:v>0</x:v>
      </x:c>
      <x:c r="I706" s="50" t="n">
        <x:f>IF(COUNTIFS(Events!$B$4:$B$1456,$A706,Events!$C$4:$C$1456,"day60_activity_observed",Events!$D$4:$D$1456,"&gt;="&amp;($B706+60),Events!$D$4:$D$1456,"&lt;="&amp;($B706+74))&gt;0,1,0)</x:f>
        <x:v>1</x:v>
      </x:c>
    </x:row>
    <x:row r="707">
      <x:c r="A707" s="50" t="str">
        <x:f>Members!A707</x:f>
        <x:v>SYN0704</x:v>
      </x:c>
      <x:c r="B707" s="51" t="n">
        <x:f>Members!B707</x:f>
        <x:v>46097</x:v>
      </x:c>
      <x:c r="C707" s="50" t="str">
        <x:f>Members!C707</x:f>
        <x:v>Direct</x:v>
      </x:c>
      <x:c r="D707" s="50" t="n">
        <x:f>IF($B707&lt;='Scorecard'!$B$3-7,1,0)</x:f>
        <x:v>1</x:v>
      </x:c>
      <x:c r="E707" s="50" t="n">
        <x:f>IF(COUNTIFS(Events!$B$4:$B$1456,$A707,Events!$C$4:$C$1456,"coach_contact_completed",Events!$D$4:$D$1456,"&gt;="&amp;($B707+0),Events!$D$4:$D$1456,"&lt;="&amp;($B707+7))&gt;0,1,0)</x:f>
        <x:v>1</x:v>
      </x:c>
      <x:c r="F707" s="50" t="n">
        <x:f>IF($B707&lt;='Scorecard'!$B$3-37,1,0)</x:f>
        <x:v>1</x:v>
      </x:c>
      <x:c r="G707" s="50" t="n">
        <x:f>IF(COUNTIFS(Events!$B$4:$B$1456,$A707,Events!$C$4:$C$1456,"day30_checkin_completed",Events!$D$4:$D$1456,"&gt;="&amp;($B707+28),Events!$D$4:$D$1456,"&lt;="&amp;($B707+37))&gt;0,1,0)</x:f>
        <x:v>0</x:v>
      </x:c>
      <x:c r="H707" s="50" t="n">
        <x:f>IF($B707&lt;='Scorecard'!$B$3-74,1,0)</x:f>
        <x:v>1</x:v>
      </x:c>
      <x:c r="I707" s="50" t="n">
        <x:f>IF(COUNTIFS(Events!$B$4:$B$1456,$A707,Events!$C$4:$C$1456,"day60_activity_observed",Events!$D$4:$D$1456,"&gt;="&amp;($B707+60),Events!$D$4:$D$1456,"&lt;="&amp;($B707+74))&gt;0,1,0)</x:f>
        <x:v>0</x:v>
      </x:c>
    </x:row>
    <x:row r="708">
      <x:c r="A708" s="50" t="str">
        <x:f>Members!A708</x:f>
        <x:v>SYN0705</x:v>
      </x:c>
      <x:c r="B708" s="51" t="n">
        <x:f>Members!B708</x:f>
        <x:v>46029</x:v>
      </x:c>
      <x:c r="C708" s="50" t="str">
        <x:f>Members!C708</x:f>
        <x:v>Direct</x:v>
      </x:c>
      <x:c r="D708" s="50" t="n">
        <x:f>IF($B708&lt;='Scorecard'!$B$3-7,1,0)</x:f>
        <x:v>1</x:v>
      </x:c>
      <x:c r="E708" s="50" t="n">
        <x:f>IF(COUNTIFS(Events!$B$4:$B$1456,$A708,Events!$C$4:$C$1456,"coach_contact_completed",Events!$D$4:$D$1456,"&gt;="&amp;($B708+0),Events!$D$4:$D$1456,"&lt;="&amp;($B708+7))&gt;0,1,0)</x:f>
        <x:v>1</x:v>
      </x:c>
      <x:c r="F708" s="50" t="n">
        <x:f>IF($B708&lt;='Scorecard'!$B$3-37,1,0)</x:f>
        <x:v>1</x:v>
      </x:c>
      <x:c r="G708" s="50" t="n">
        <x:f>IF(COUNTIFS(Events!$B$4:$B$1456,$A708,Events!$C$4:$C$1456,"day30_checkin_completed",Events!$D$4:$D$1456,"&gt;="&amp;($B708+28),Events!$D$4:$D$1456,"&lt;="&amp;($B708+37))&gt;0,1,0)</x:f>
        <x:v>1</x:v>
      </x:c>
      <x:c r="H708" s="50" t="n">
        <x:f>IF($B708&lt;='Scorecard'!$B$3-74,1,0)</x:f>
        <x:v>1</x:v>
      </x:c>
      <x:c r="I708" s="50" t="n">
        <x:f>IF(COUNTIFS(Events!$B$4:$B$1456,$A708,Events!$C$4:$C$1456,"day60_activity_observed",Events!$D$4:$D$1456,"&gt;="&amp;($B708+60),Events!$D$4:$D$1456,"&lt;="&amp;($B708+74))&gt;0,1,0)</x:f>
        <x:v>0</x:v>
      </x:c>
    </x:row>
    <x:row r="709">
      <x:c r="A709" s="50" t="str">
        <x:f>Members!A709</x:f>
        <x:v>SYN0706</x:v>
      </x:c>
      <x:c r="B709" s="51" t="n">
        <x:f>Members!B709</x:f>
        <x:v>46082</x:v>
      </x:c>
      <x:c r="C709" s="50" t="str">
        <x:f>Members!C709</x:f>
        <x:v>Direct</x:v>
      </x:c>
      <x:c r="D709" s="50" t="n">
        <x:f>IF($B709&lt;='Scorecard'!$B$3-7,1,0)</x:f>
        <x:v>1</x:v>
      </x:c>
      <x:c r="E709" s="50" t="n">
        <x:f>IF(COUNTIFS(Events!$B$4:$B$1456,$A709,Events!$C$4:$C$1456,"coach_contact_completed",Events!$D$4:$D$1456,"&gt;="&amp;($B709+0),Events!$D$4:$D$1456,"&lt;="&amp;($B709+7))&gt;0,1,0)</x:f>
        <x:v>1</x:v>
      </x:c>
      <x:c r="F709" s="50" t="n">
        <x:f>IF($B709&lt;='Scorecard'!$B$3-37,1,0)</x:f>
        <x:v>1</x:v>
      </x:c>
      <x:c r="G709" s="50" t="n">
        <x:f>IF(COUNTIFS(Events!$B$4:$B$1456,$A709,Events!$C$4:$C$1456,"day30_checkin_completed",Events!$D$4:$D$1456,"&gt;="&amp;($B709+28),Events!$D$4:$D$1456,"&lt;="&amp;($B709+37))&gt;0,1,0)</x:f>
        <x:v>1</x:v>
      </x:c>
      <x:c r="H709" s="50" t="n">
        <x:f>IF($B709&lt;='Scorecard'!$B$3-74,1,0)</x:f>
        <x:v>1</x:v>
      </x:c>
      <x:c r="I709" s="50" t="n">
        <x:f>IF(COUNTIFS(Events!$B$4:$B$1456,$A709,Events!$C$4:$C$1456,"day60_activity_observed",Events!$D$4:$D$1456,"&gt;="&amp;($B709+60),Events!$D$4:$D$1456,"&lt;="&amp;($B709+74))&gt;0,1,0)</x:f>
        <x:v>1</x:v>
      </x:c>
    </x:row>
    <x:row r="710">
      <x:c r="A710" s="50" t="str">
        <x:f>Members!A710</x:f>
        <x:v>SYN0707</x:v>
      </x:c>
      <x:c r="B710" s="51" t="n">
        <x:f>Members!B710</x:f>
        <x:v>46085</x:v>
      </x:c>
      <x:c r="C710" s="50" t="str">
        <x:f>Members!C710</x:f>
        <x:v>Direct</x:v>
      </x:c>
      <x:c r="D710" s="50" t="n">
        <x:f>IF($B710&lt;='Scorecard'!$B$3-7,1,0)</x:f>
        <x:v>1</x:v>
      </x:c>
      <x:c r="E710" s="50" t="n">
        <x:f>IF(COUNTIFS(Events!$B$4:$B$1456,$A710,Events!$C$4:$C$1456,"coach_contact_completed",Events!$D$4:$D$1456,"&gt;="&amp;($B710+0),Events!$D$4:$D$1456,"&lt;="&amp;($B710+7))&gt;0,1,0)</x:f>
        <x:v>0</x:v>
      </x:c>
      <x:c r="F710" s="50" t="n">
        <x:f>IF($B710&lt;='Scorecard'!$B$3-37,1,0)</x:f>
        <x:v>1</x:v>
      </x:c>
      <x:c r="G710" s="50" t="n">
        <x:f>IF(COUNTIFS(Events!$B$4:$B$1456,$A710,Events!$C$4:$C$1456,"day30_checkin_completed",Events!$D$4:$D$1456,"&gt;="&amp;($B710+28),Events!$D$4:$D$1456,"&lt;="&amp;($B710+37))&gt;0,1,0)</x:f>
        <x:v>0</x:v>
      </x:c>
      <x:c r="H710" s="50" t="n">
        <x:f>IF($B710&lt;='Scorecard'!$B$3-74,1,0)</x:f>
        <x:v>1</x:v>
      </x:c>
      <x:c r="I710" s="50" t="n">
        <x:f>IF(COUNTIFS(Events!$B$4:$B$1456,$A710,Events!$C$4:$C$1456,"day60_activity_observed",Events!$D$4:$D$1456,"&gt;="&amp;($B710+60),Events!$D$4:$D$1456,"&lt;="&amp;($B710+74))&gt;0,1,0)</x:f>
        <x:v>1</x:v>
      </x:c>
    </x:row>
    <x:row r="711">
      <x:c r="A711" s="50" t="str">
        <x:f>Members!A711</x:f>
        <x:v>SYN0708</x:v>
      </x:c>
      <x:c r="B711" s="51" t="n">
        <x:f>Members!B711</x:f>
        <x:v>46213</x:v>
      </x:c>
      <x:c r="C711" s="50" t="str">
        <x:f>Members!C711</x:f>
        <x:v>Direct</x:v>
      </x:c>
      <x:c r="D711" s="50" t="n">
        <x:f>IF($B711&lt;='Scorecard'!$B$3-7,1,0)</x:f>
        <x:v>1</x:v>
      </x:c>
      <x:c r="E711" s="50" t="n">
        <x:f>IF(COUNTIFS(Events!$B$4:$B$1456,$A711,Events!$C$4:$C$1456,"coach_contact_completed",Events!$D$4:$D$1456,"&gt;="&amp;($B711+0),Events!$D$4:$D$1456,"&lt;="&amp;($B711+7))&gt;0,1,0)</x:f>
        <x:v>1</x:v>
      </x:c>
      <x:c r="F711" s="50" t="n">
        <x:f>IF($B711&lt;='Scorecard'!$B$3-37,1,0)</x:f>
        <x:v>1</x:v>
      </x:c>
      <x:c r="G711" s="50" t="n">
        <x:f>IF(COUNTIFS(Events!$B$4:$B$1456,$A711,Events!$C$4:$C$1456,"day30_checkin_completed",Events!$D$4:$D$1456,"&gt;="&amp;($B711+28),Events!$D$4:$D$1456,"&lt;="&amp;($B711+37))&gt;0,1,0)</x:f>
        <x:v>1</x:v>
      </x:c>
      <x:c r="H711" s="50" t="n">
        <x:f>IF($B711&lt;='Scorecard'!$B$3-74,1,0)</x:f>
        <x:v>1</x:v>
      </x:c>
      <x:c r="I711" s="50" t="n">
        <x:f>IF(COUNTIFS(Events!$B$4:$B$1456,$A711,Events!$C$4:$C$1456,"day60_activity_observed",Events!$D$4:$D$1456,"&gt;="&amp;($B711+60),Events!$D$4:$D$1456,"&lt;="&amp;($B711+74))&gt;0,1,0)</x:f>
        <x:v>1</x:v>
      </x:c>
    </x:row>
    <x:row r="712">
      <x:c r="A712" s="50" t="str">
        <x:f>Members!A712</x:f>
        <x:v>SYN0709</x:v>
      </x:c>
      <x:c r="B712" s="51" t="n">
        <x:f>Members!B712</x:f>
        <x:v>46256</x:v>
      </x:c>
      <x:c r="C712" s="50" t="str">
        <x:f>Members!C712</x:f>
        <x:v>Direct</x:v>
      </x:c>
      <x:c r="D712" s="50" t="n">
        <x:f>IF($B712&lt;='Scorecard'!$B$3-7,1,0)</x:f>
        <x:v>1</x:v>
      </x:c>
      <x:c r="E712" s="50" t="n">
        <x:f>IF(COUNTIFS(Events!$B$4:$B$1456,$A712,Events!$C$4:$C$1456,"coach_contact_completed",Events!$D$4:$D$1456,"&gt;="&amp;($B712+0),Events!$D$4:$D$1456,"&lt;="&amp;($B712+7))&gt;0,1,0)</x:f>
        <x:v>0</x:v>
      </x:c>
      <x:c r="F712" s="50" t="n">
        <x:f>IF($B712&lt;='Scorecard'!$B$3-37,1,0)</x:f>
        <x:v>1</x:v>
      </x:c>
      <x:c r="G712" s="50" t="n">
        <x:f>IF(COUNTIFS(Events!$B$4:$B$1456,$A712,Events!$C$4:$C$1456,"day30_checkin_completed",Events!$D$4:$D$1456,"&gt;="&amp;($B712+28),Events!$D$4:$D$1456,"&lt;="&amp;($B712+37))&gt;0,1,0)</x:f>
        <x:v>1</x:v>
      </x:c>
      <x:c r="H712" s="50" t="n">
        <x:f>IF($B712&lt;='Scorecard'!$B$3-74,1,0)</x:f>
        <x:v>0</x:v>
      </x:c>
      <x:c r="I712" s="50" t="n">
        <x:f>IF(COUNTIFS(Events!$B$4:$B$1456,$A712,Events!$C$4:$C$1456,"day60_activity_observed",Events!$D$4:$D$1456,"&gt;="&amp;($B712+60),Events!$D$4:$D$1456,"&lt;="&amp;($B712+74))&gt;0,1,0)</x:f>
        <x:v>0</x:v>
      </x:c>
    </x:row>
    <x:row r="713">
      <x:c r="A713" s="50" t="str">
        <x:f>Members!A713</x:f>
        <x:v>SYN0710</x:v>
      </x:c>
      <x:c r="B713" s="51" t="n">
        <x:f>Members!B713</x:f>
        <x:v>46106</x:v>
      </x:c>
      <x:c r="C713" s="50" t="str">
        <x:f>Members!C713</x:f>
        <x:v>Direct</x:v>
      </x:c>
      <x:c r="D713" s="50" t="n">
        <x:f>IF($B713&lt;='Scorecard'!$B$3-7,1,0)</x:f>
        <x:v>1</x:v>
      </x:c>
      <x:c r="E713" s="50" t="n">
        <x:f>IF(COUNTIFS(Events!$B$4:$B$1456,$A713,Events!$C$4:$C$1456,"coach_contact_completed",Events!$D$4:$D$1456,"&gt;="&amp;($B713+0),Events!$D$4:$D$1456,"&lt;="&amp;($B713+7))&gt;0,1,0)</x:f>
        <x:v>0</x:v>
      </x:c>
      <x:c r="F713" s="50" t="n">
        <x:f>IF($B713&lt;='Scorecard'!$B$3-37,1,0)</x:f>
        <x:v>1</x:v>
      </x:c>
      <x:c r="G713" s="50" t="n">
        <x:f>IF(COUNTIFS(Events!$B$4:$B$1456,$A713,Events!$C$4:$C$1456,"day30_checkin_completed",Events!$D$4:$D$1456,"&gt;="&amp;($B713+28),Events!$D$4:$D$1456,"&lt;="&amp;($B713+37))&gt;0,1,0)</x:f>
        <x:v>1</x:v>
      </x:c>
      <x:c r="H713" s="50" t="n">
        <x:f>IF($B713&lt;='Scorecard'!$B$3-74,1,0)</x:f>
        <x:v>1</x:v>
      </x:c>
      <x:c r="I713" s="50" t="n">
        <x:f>IF(COUNTIFS(Events!$B$4:$B$1456,$A713,Events!$C$4:$C$1456,"day60_activity_observed",Events!$D$4:$D$1456,"&gt;="&amp;($B713+60),Events!$D$4:$D$1456,"&lt;="&amp;($B713+74))&gt;0,1,0)</x:f>
        <x:v>1</x:v>
      </x:c>
    </x:row>
    <x:row r="714">
      <x:c r="A714" s="50" t="str">
        <x:f>Members!A714</x:f>
        <x:v>SYN0711</x:v>
      </x:c>
      <x:c r="B714" s="51" t="n">
        <x:f>Members!B714</x:f>
        <x:v>46225</x:v>
      </x:c>
      <x:c r="C714" s="50" t="str">
        <x:f>Members!C714</x:f>
        <x:v>Direct</x:v>
      </x:c>
      <x:c r="D714" s="50" t="n">
        <x:f>IF($B714&lt;='Scorecard'!$B$3-7,1,0)</x:f>
        <x:v>1</x:v>
      </x:c>
      <x:c r="E714" s="50" t="n">
        <x:f>IF(COUNTIFS(Events!$B$4:$B$1456,$A714,Events!$C$4:$C$1456,"coach_contact_completed",Events!$D$4:$D$1456,"&gt;="&amp;($B714+0),Events!$D$4:$D$1456,"&lt;="&amp;($B714+7))&gt;0,1,0)</x:f>
        <x:v>0</x:v>
      </x:c>
      <x:c r="F714" s="50" t="n">
        <x:f>IF($B714&lt;='Scorecard'!$B$3-37,1,0)</x:f>
        <x:v>1</x:v>
      </x:c>
      <x:c r="G714" s="50" t="n">
        <x:f>IF(COUNTIFS(Events!$B$4:$B$1456,$A714,Events!$C$4:$C$1456,"day30_checkin_completed",Events!$D$4:$D$1456,"&gt;="&amp;($B714+28),Events!$D$4:$D$1456,"&lt;="&amp;($B714+37))&gt;0,1,0)</x:f>
        <x:v>1</x:v>
      </x:c>
      <x:c r="H714" s="50" t="n">
        <x:f>IF($B714&lt;='Scorecard'!$B$3-74,1,0)</x:f>
        <x:v>0</x:v>
      </x:c>
      <x:c r="I714" s="50" t="n">
        <x:f>IF(COUNTIFS(Events!$B$4:$B$1456,$A714,Events!$C$4:$C$1456,"day60_activity_observed",Events!$D$4:$D$1456,"&gt;="&amp;($B714+60),Events!$D$4:$D$1456,"&lt;="&amp;($B714+74))&gt;0,1,0)</x:f>
        <x:v>0</x:v>
      </x:c>
    </x:row>
    <x:row r="715">
      <x:c r="A715" s="50" t="str">
        <x:f>Members!A715</x:f>
        <x:v>SYN0712</x:v>
      </x:c>
      <x:c r="B715" s="51" t="n">
        <x:f>Members!B715</x:f>
        <x:v>46237</x:v>
      </x:c>
      <x:c r="C715" s="50" t="str">
        <x:f>Members!C715</x:f>
        <x:v>Direct</x:v>
      </x:c>
      <x:c r="D715" s="50" t="n">
        <x:f>IF($B715&lt;='Scorecard'!$B$3-7,1,0)</x:f>
        <x:v>1</x:v>
      </x:c>
      <x:c r="E715" s="50" t="n">
        <x:f>IF(COUNTIFS(Events!$B$4:$B$1456,$A715,Events!$C$4:$C$1456,"coach_contact_completed",Events!$D$4:$D$1456,"&gt;="&amp;($B715+0),Events!$D$4:$D$1456,"&lt;="&amp;($B715+7))&gt;0,1,0)</x:f>
        <x:v>1</x:v>
      </x:c>
      <x:c r="F715" s="50" t="n">
        <x:f>IF($B715&lt;='Scorecard'!$B$3-37,1,0)</x:f>
        <x:v>1</x:v>
      </x:c>
      <x:c r="G715" s="50" t="n">
        <x:f>IF(COUNTIFS(Events!$B$4:$B$1456,$A715,Events!$C$4:$C$1456,"day30_checkin_completed",Events!$D$4:$D$1456,"&gt;="&amp;($B715+28),Events!$D$4:$D$1456,"&lt;="&amp;($B715+37))&gt;0,1,0)</x:f>
        <x:v>1</x:v>
      </x:c>
      <x:c r="H715" s="50" t="n">
        <x:f>IF($B715&lt;='Scorecard'!$B$3-74,1,0)</x:f>
        <x:v>0</x:v>
      </x:c>
      <x:c r="I715" s="50" t="n">
        <x:f>IF(COUNTIFS(Events!$B$4:$B$1456,$A715,Events!$C$4:$C$1456,"day60_activity_observed",Events!$D$4:$D$1456,"&gt;="&amp;($B715+60),Events!$D$4:$D$1456,"&lt;="&amp;($B715+74))&gt;0,1,0)</x:f>
        <x:v>0</x:v>
      </x:c>
    </x:row>
    <x:row r="716">
      <x:c r="A716" s="50" t="str">
        <x:f>Members!A716</x:f>
        <x:v>SYN0713</x:v>
      </x:c>
      <x:c r="B716" s="51" t="n">
        <x:f>Members!B716</x:f>
        <x:v>46225</x:v>
      </x:c>
      <x:c r="C716" s="50" t="str">
        <x:f>Members!C716</x:f>
        <x:v>Direct</x:v>
      </x:c>
      <x:c r="D716" s="50" t="n">
        <x:f>IF($B716&lt;='Scorecard'!$B$3-7,1,0)</x:f>
        <x:v>1</x:v>
      </x:c>
      <x:c r="E716" s="50" t="n">
        <x:f>IF(COUNTIFS(Events!$B$4:$B$1456,$A716,Events!$C$4:$C$1456,"coach_contact_completed",Events!$D$4:$D$1456,"&gt;="&amp;($B716+0),Events!$D$4:$D$1456,"&lt;="&amp;($B716+7))&gt;0,1,0)</x:f>
        <x:v>0</x:v>
      </x:c>
      <x:c r="F716" s="50" t="n">
        <x:f>IF($B716&lt;='Scorecard'!$B$3-37,1,0)</x:f>
        <x:v>1</x:v>
      </x:c>
      <x:c r="G716" s="50" t="n">
        <x:f>IF(COUNTIFS(Events!$B$4:$B$1456,$A716,Events!$C$4:$C$1456,"day30_checkin_completed",Events!$D$4:$D$1456,"&gt;="&amp;($B716+28),Events!$D$4:$D$1456,"&lt;="&amp;($B716+37))&gt;0,1,0)</x:f>
        <x:v>1</x:v>
      </x:c>
      <x:c r="H716" s="50" t="n">
        <x:f>IF($B716&lt;='Scorecard'!$B$3-74,1,0)</x:f>
        <x:v>0</x:v>
      </x:c>
      <x:c r="I716" s="50" t="n">
        <x:f>IF(COUNTIFS(Events!$B$4:$B$1456,$A716,Events!$C$4:$C$1456,"day60_activity_observed",Events!$D$4:$D$1456,"&gt;="&amp;($B716+60),Events!$D$4:$D$1456,"&lt;="&amp;($B716+74))&gt;0,1,0)</x:f>
        <x:v>0</x:v>
      </x:c>
    </x:row>
    <x:row r="717">
      <x:c r="A717" s="50" t="str">
        <x:f>Members!A717</x:f>
        <x:v>SYN0714</x:v>
      </x:c>
      <x:c r="B717" s="51" t="n">
        <x:f>Members!B717</x:f>
        <x:v>46057</x:v>
      </x:c>
      <x:c r="C717" s="50" t="str">
        <x:f>Members!C717</x:f>
        <x:v>Employer</x:v>
      </x:c>
      <x:c r="D717" s="50" t="n">
        <x:f>IF($B717&lt;='Scorecard'!$B$3-7,1,0)</x:f>
        <x:v>1</x:v>
      </x:c>
      <x:c r="E717" s="50" t="n">
        <x:f>IF(COUNTIFS(Events!$B$4:$B$1456,$A717,Events!$C$4:$C$1456,"coach_contact_completed",Events!$D$4:$D$1456,"&gt;="&amp;($B717+0),Events!$D$4:$D$1456,"&lt;="&amp;($B717+7))&gt;0,1,0)</x:f>
        <x:v>1</x:v>
      </x:c>
      <x:c r="F717" s="50" t="n">
        <x:f>IF($B717&lt;='Scorecard'!$B$3-37,1,0)</x:f>
        <x:v>1</x:v>
      </x:c>
      <x:c r="G717" s="50" t="n">
        <x:f>IF(COUNTIFS(Events!$B$4:$B$1456,$A717,Events!$C$4:$C$1456,"day30_checkin_completed",Events!$D$4:$D$1456,"&gt;="&amp;($B717+28),Events!$D$4:$D$1456,"&lt;="&amp;($B717+37))&gt;0,1,0)</x:f>
        <x:v>1</x:v>
      </x:c>
      <x:c r="H717" s="50" t="n">
        <x:f>IF($B717&lt;='Scorecard'!$B$3-74,1,0)</x:f>
        <x:v>1</x:v>
      </x:c>
      <x:c r="I717" s="50" t="n">
        <x:f>IF(COUNTIFS(Events!$B$4:$B$1456,$A717,Events!$C$4:$C$1456,"day60_activity_observed",Events!$D$4:$D$1456,"&gt;="&amp;($B717+60),Events!$D$4:$D$1456,"&lt;="&amp;($B717+74))&gt;0,1,0)</x:f>
        <x:v>1</x:v>
      </x:c>
    </x:row>
    <x:row r="718">
      <x:c r="A718" s="50" t="str">
        <x:f>Members!A718</x:f>
        <x:v>SYN0715</x:v>
      </x:c>
      <x:c r="B718" s="51" t="n">
        <x:f>Members!B718</x:f>
        <x:v>46162</x:v>
      </x:c>
      <x:c r="C718" s="50" t="str">
        <x:f>Members!C718</x:f>
        <x:v>Direct</x:v>
      </x:c>
      <x:c r="D718" s="50" t="n">
        <x:f>IF($B718&lt;='Scorecard'!$B$3-7,1,0)</x:f>
        <x:v>1</x:v>
      </x:c>
      <x:c r="E718" s="50" t="n">
        <x:f>IF(COUNTIFS(Events!$B$4:$B$1456,$A718,Events!$C$4:$C$1456,"coach_contact_completed",Events!$D$4:$D$1456,"&gt;="&amp;($B718+0),Events!$D$4:$D$1456,"&lt;="&amp;($B718+7))&gt;0,1,0)</x:f>
        <x:v>1</x:v>
      </x:c>
      <x:c r="F718" s="50" t="n">
        <x:f>IF($B718&lt;='Scorecard'!$B$3-37,1,0)</x:f>
        <x:v>1</x:v>
      </x:c>
      <x:c r="G718" s="50" t="n">
        <x:f>IF(COUNTIFS(Events!$B$4:$B$1456,$A718,Events!$C$4:$C$1456,"day30_checkin_completed",Events!$D$4:$D$1456,"&gt;="&amp;($B718+28),Events!$D$4:$D$1456,"&lt;="&amp;($B718+37))&gt;0,1,0)</x:f>
        <x:v>1</x:v>
      </x:c>
      <x:c r="H718" s="50" t="n">
        <x:f>IF($B718&lt;='Scorecard'!$B$3-74,1,0)</x:f>
        <x:v>1</x:v>
      </x:c>
      <x:c r="I718" s="50" t="n">
        <x:f>IF(COUNTIFS(Events!$B$4:$B$1456,$A718,Events!$C$4:$C$1456,"day60_activity_observed",Events!$D$4:$D$1456,"&gt;="&amp;($B718+60),Events!$D$4:$D$1456,"&lt;="&amp;($B718+74))&gt;0,1,0)</x:f>
        <x:v>1</x:v>
      </x:c>
    </x:row>
    <x:row r="719">
      <x:c r="A719" s="50" t="str">
        <x:f>Members!A719</x:f>
        <x:v>SYN0716</x:v>
      </x:c>
      <x:c r="B719" s="51" t="n">
        <x:f>Members!B719</x:f>
        <x:v>46227</x:v>
      </x:c>
      <x:c r="C719" s="50" t="str">
        <x:f>Members!C719</x:f>
        <x:v>Direct</x:v>
      </x:c>
      <x:c r="D719" s="50" t="n">
        <x:f>IF($B719&lt;='Scorecard'!$B$3-7,1,0)</x:f>
        <x:v>1</x:v>
      </x:c>
      <x:c r="E719" s="50" t="n">
        <x:f>IF(COUNTIFS(Events!$B$4:$B$1456,$A719,Events!$C$4:$C$1456,"coach_contact_completed",Events!$D$4:$D$1456,"&gt;="&amp;($B719+0),Events!$D$4:$D$1456,"&lt;="&amp;($B719+7))&gt;0,1,0)</x:f>
        <x:v>1</x:v>
      </x:c>
      <x:c r="F719" s="50" t="n">
        <x:f>IF($B719&lt;='Scorecard'!$B$3-37,1,0)</x:f>
        <x:v>1</x:v>
      </x:c>
      <x:c r="G719" s="50" t="n">
        <x:f>IF(COUNTIFS(Events!$B$4:$B$1456,$A719,Events!$C$4:$C$1456,"day30_checkin_completed",Events!$D$4:$D$1456,"&gt;="&amp;($B719+28),Events!$D$4:$D$1456,"&lt;="&amp;($B719+37))&gt;0,1,0)</x:f>
        <x:v>1</x:v>
      </x:c>
      <x:c r="H719" s="50" t="n">
        <x:f>IF($B719&lt;='Scorecard'!$B$3-74,1,0)</x:f>
        <x:v>0</x:v>
      </x:c>
      <x:c r="I719" s="50" t="n">
        <x:f>IF(COUNTIFS(Events!$B$4:$B$1456,$A719,Events!$C$4:$C$1456,"day60_activity_observed",Events!$D$4:$D$1456,"&gt;="&amp;($B719+60),Events!$D$4:$D$1456,"&lt;="&amp;($B719+74))&gt;0,1,0)</x:f>
        <x:v>0</x:v>
      </x:c>
    </x:row>
    <x:row r="720">
      <x:c r="A720" s="50" t="str">
        <x:f>Members!A720</x:f>
        <x:v>SYN0717</x:v>
      </x:c>
      <x:c r="B720" s="51" t="n">
        <x:f>Members!B720</x:f>
        <x:v>46249</x:v>
      </x:c>
      <x:c r="C720" s="50" t="str">
        <x:f>Members!C720</x:f>
        <x:v>Direct</x:v>
      </x:c>
      <x:c r="D720" s="50" t="n">
        <x:f>IF($B720&lt;='Scorecard'!$B$3-7,1,0)</x:f>
        <x:v>1</x:v>
      </x:c>
      <x:c r="E720" s="50" t="n">
        <x:f>IF(COUNTIFS(Events!$B$4:$B$1456,$A720,Events!$C$4:$C$1456,"coach_contact_completed",Events!$D$4:$D$1456,"&gt;="&amp;($B720+0),Events!$D$4:$D$1456,"&lt;="&amp;($B720+7))&gt;0,1,0)</x:f>
        <x:v>1</x:v>
      </x:c>
      <x:c r="F720" s="50" t="n">
        <x:f>IF($B720&lt;='Scorecard'!$B$3-37,1,0)</x:f>
        <x:v>1</x:v>
      </x:c>
      <x:c r="G720" s="50" t="n">
        <x:f>IF(COUNTIFS(Events!$B$4:$B$1456,$A720,Events!$C$4:$C$1456,"day30_checkin_completed",Events!$D$4:$D$1456,"&gt;="&amp;($B720+28),Events!$D$4:$D$1456,"&lt;="&amp;($B720+37))&gt;0,1,0)</x:f>
        <x:v>1</x:v>
      </x:c>
      <x:c r="H720" s="50" t="n">
        <x:f>IF($B720&lt;='Scorecard'!$B$3-74,1,0)</x:f>
        <x:v>0</x:v>
      </x:c>
      <x:c r="I720" s="50" t="n">
        <x:f>IF(COUNTIFS(Events!$B$4:$B$1456,$A720,Events!$C$4:$C$1456,"day60_activity_observed",Events!$D$4:$D$1456,"&gt;="&amp;($B720+60),Events!$D$4:$D$1456,"&lt;="&amp;($B720+74))&gt;0,1,0)</x:f>
        <x:v>0</x:v>
      </x:c>
    </x:row>
    <x:row r="721">
      <x:c r="A721" s="50" t="str">
        <x:f>Members!A721</x:f>
        <x:v>SYN0718</x:v>
      </x:c>
      <x:c r="B721" s="51" t="n">
        <x:f>Members!B721</x:f>
        <x:v>46026</x:v>
      </x:c>
      <x:c r="C721" s="50" t="str">
        <x:f>Members!C721</x:f>
        <x:v>Employer</x:v>
      </x:c>
      <x:c r="D721" s="50" t="n">
        <x:f>IF($B721&lt;='Scorecard'!$B$3-7,1,0)</x:f>
        <x:v>1</x:v>
      </x:c>
      <x:c r="E721" s="50" t="n">
        <x:f>IF(COUNTIFS(Events!$B$4:$B$1456,$A721,Events!$C$4:$C$1456,"coach_contact_completed",Events!$D$4:$D$1456,"&gt;="&amp;($B721+0),Events!$D$4:$D$1456,"&lt;="&amp;($B721+7))&gt;0,1,0)</x:f>
        <x:v>1</x:v>
      </x:c>
      <x:c r="F721" s="50" t="n">
        <x:f>IF($B721&lt;='Scorecard'!$B$3-37,1,0)</x:f>
        <x:v>1</x:v>
      </x:c>
      <x:c r="G721" s="50" t="n">
        <x:f>IF(COUNTIFS(Events!$B$4:$B$1456,$A721,Events!$C$4:$C$1456,"day30_checkin_completed",Events!$D$4:$D$1456,"&gt;="&amp;($B721+28),Events!$D$4:$D$1456,"&lt;="&amp;($B721+37))&gt;0,1,0)</x:f>
        <x:v>0</x:v>
      </x:c>
      <x:c r="H721" s="50" t="n">
        <x:f>IF($B721&lt;='Scorecard'!$B$3-74,1,0)</x:f>
        <x:v>1</x:v>
      </x:c>
      <x:c r="I721" s="50" t="n">
        <x:f>IF(COUNTIFS(Events!$B$4:$B$1456,$A721,Events!$C$4:$C$1456,"day60_activity_observed",Events!$D$4:$D$1456,"&gt;="&amp;($B721+60),Events!$D$4:$D$1456,"&lt;="&amp;($B721+74))&gt;0,1,0)</x:f>
        <x:v>0</x:v>
      </x:c>
    </x:row>
    <x:row r="722">
      <x:c r="A722" s="50" t="str">
        <x:f>Members!A722</x:f>
        <x:v>SYN0719</x:v>
      </x:c>
      <x:c r="B722" s="51" t="n">
        <x:f>Members!B722</x:f>
        <x:v>46057</x:v>
      </x:c>
      <x:c r="C722" s="50" t="str">
        <x:f>Members!C722</x:f>
        <x:v>Employer</x:v>
      </x:c>
      <x:c r="D722" s="50" t="n">
        <x:f>IF($B722&lt;='Scorecard'!$B$3-7,1,0)</x:f>
        <x:v>1</x:v>
      </x:c>
      <x:c r="E722" s="50" t="n">
        <x:f>IF(COUNTIFS(Events!$B$4:$B$1456,$A722,Events!$C$4:$C$1456,"coach_contact_completed",Events!$D$4:$D$1456,"&gt;="&amp;($B722+0),Events!$D$4:$D$1456,"&lt;="&amp;($B722+7))&gt;0,1,0)</x:f>
        <x:v>1</x:v>
      </x:c>
      <x:c r="F722" s="50" t="n">
        <x:f>IF($B722&lt;='Scorecard'!$B$3-37,1,0)</x:f>
        <x:v>1</x:v>
      </x:c>
      <x:c r="G722" s="50" t="n">
        <x:f>IF(COUNTIFS(Events!$B$4:$B$1456,$A722,Events!$C$4:$C$1456,"day30_checkin_completed",Events!$D$4:$D$1456,"&gt;="&amp;($B722+28),Events!$D$4:$D$1456,"&lt;="&amp;($B722+37))&gt;0,1,0)</x:f>
        <x:v>0</x:v>
      </x:c>
      <x:c r="H722" s="50" t="n">
        <x:f>IF($B722&lt;='Scorecard'!$B$3-74,1,0)</x:f>
        <x:v>1</x:v>
      </x:c>
      <x:c r="I722" s="50" t="n">
        <x:f>IF(COUNTIFS(Events!$B$4:$B$1456,$A722,Events!$C$4:$C$1456,"day60_activity_observed",Events!$D$4:$D$1456,"&gt;="&amp;($B722+60),Events!$D$4:$D$1456,"&lt;="&amp;($B722+74))&gt;0,1,0)</x:f>
        <x:v>1</x:v>
      </x:c>
    </x:row>
    <x:row r="723">
      <x:c r="A723" s="50" t="str">
        <x:f>Members!A723</x:f>
        <x:v>SYN0720</x:v>
      </x:c>
      <x:c r="B723" s="51" t="n">
        <x:f>Members!B723</x:f>
        <x:v>46137</x:v>
      </x:c>
      <x:c r="C723" s="50" t="str">
        <x:f>Members!C723</x:f>
        <x:v>Direct</x:v>
      </x:c>
      <x:c r="D723" s="50" t="n">
        <x:f>IF($B723&lt;='Scorecard'!$B$3-7,1,0)</x:f>
        <x:v>1</x:v>
      </x:c>
      <x:c r="E723" s="50" t="n">
        <x:f>IF(COUNTIFS(Events!$B$4:$B$1456,$A723,Events!$C$4:$C$1456,"coach_contact_completed",Events!$D$4:$D$1456,"&gt;="&amp;($B723+0),Events!$D$4:$D$1456,"&lt;="&amp;($B723+7))&gt;0,1,0)</x:f>
        <x:v>1</x:v>
      </x:c>
      <x:c r="F723" s="50" t="n">
        <x:f>IF($B723&lt;='Scorecard'!$B$3-37,1,0)</x:f>
        <x:v>1</x:v>
      </x:c>
      <x:c r="G723" s="50" t="n">
        <x:f>IF(COUNTIFS(Events!$B$4:$B$1456,$A723,Events!$C$4:$C$1456,"day30_checkin_completed",Events!$D$4:$D$1456,"&gt;="&amp;($B723+28),Events!$D$4:$D$1456,"&lt;="&amp;($B723+37))&gt;0,1,0)</x:f>
        <x:v>1</x:v>
      </x:c>
      <x:c r="H723" s="50" t="n">
        <x:f>IF($B723&lt;='Scorecard'!$B$3-74,1,0)</x:f>
        <x:v>1</x:v>
      </x:c>
      <x:c r="I723" s="50" t="n">
        <x:f>IF(COUNTIFS(Events!$B$4:$B$1456,$A723,Events!$C$4:$C$1456,"day60_activity_observed",Events!$D$4:$D$1456,"&gt;="&amp;($B723+60),Events!$D$4:$D$1456,"&lt;="&amp;($B723+74))&gt;0,1,0)</x:f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</x:cols>
  <x:sheetData>
    <x:row r="1">
      <x:c r="A1" t="str">
        <x:v>Synthetic source data. All people, dates, and assignments are fictional.</x:v>
      </x:c>
    </x:row>
    <x:row r="3" ht="22" customHeight="1">
      <x:c r="A3" s="54" t="str">
        <x:v>member_id</x:v>
      </x:c>
      <x:c r="B3" s="54" t="str">
        <x:v>enrollment_date</x:v>
      </x:c>
      <x:c r="C3" s="54" t="str">
        <x:v>channel</x:v>
      </x:c>
      <x:c r="D3" s="54" t="str">
        <x:v>care_team</x:v>
      </x:c>
    </x:row>
    <x:row r="4">
      <x:c r="A4" s="50" t="str">
        <x:v>SYN0001</x:v>
      </x:c>
      <x:c r="B4" s="51" t="n">
        <x:v>46067</x:v>
      </x:c>
      <x:c r="C4" s="50" t="str">
        <x:v>Employer</x:v>
      </x:c>
      <x:c r="D4" s="50" t="str">
        <x:v>TEAM-03</x:v>
      </x:c>
    </x:row>
    <x:row r="5">
      <x:c r="A5" s="50" t="str">
        <x:v>SYN0002</x:v>
      </x:c>
      <x:c r="B5" s="51" t="n">
        <x:v>46175</x:v>
      </x:c>
      <x:c r="C5" s="50" t="str">
        <x:v>Direct</x:v>
      </x:c>
      <x:c r="D5" s="50" t="str">
        <x:v>TEAM-02</x:v>
      </x:c>
    </x:row>
    <x:row r="6">
      <x:c r="A6" s="50" t="str">
        <x:v>SYN0003</x:v>
      </x:c>
      <x:c r="B6" s="51" t="n">
        <x:v>46086</x:v>
      </x:c>
      <x:c r="C6" s="50" t="str">
        <x:v>Direct</x:v>
      </x:c>
      <x:c r="D6" s="50" t="str">
        <x:v>TEAM-02</x:v>
      </x:c>
    </x:row>
    <x:row r="7">
      <x:c r="A7" s="50" t="str">
        <x:v>SYN0004</x:v>
      </x:c>
      <x:c r="B7" s="51" t="n">
        <x:v>46209</x:v>
      </x:c>
      <x:c r="C7" s="50" t="str">
        <x:v>Direct</x:v>
      </x:c>
      <x:c r="D7" s="50" t="str">
        <x:v>TEAM-06</x:v>
      </x:c>
    </x:row>
    <x:row r="8">
      <x:c r="A8" s="50" t="str">
        <x:v>SYN0005</x:v>
      </x:c>
      <x:c r="B8" s="51" t="n">
        <x:v>46106</x:v>
      </x:c>
      <x:c r="C8" s="50" t="str">
        <x:v>Direct</x:v>
      </x:c>
      <x:c r="D8" s="50" t="str">
        <x:v>TEAM-01</x:v>
      </x:c>
    </x:row>
    <x:row r="9">
      <x:c r="A9" s="50" t="str">
        <x:v>SYN0006</x:v>
      </x:c>
      <x:c r="B9" s="51" t="n">
        <x:v>46162</x:v>
      </x:c>
      <x:c r="C9" s="50" t="str">
        <x:v>Direct</x:v>
      </x:c>
      <x:c r="D9" s="50" t="str">
        <x:v>TEAM-04</x:v>
      </x:c>
    </x:row>
    <x:row r="10">
      <x:c r="A10" s="50" t="str">
        <x:v>SYN0007</x:v>
      </x:c>
      <x:c r="B10" s="51" t="n">
        <x:v>46205</x:v>
      </x:c>
      <x:c r="C10" s="50" t="str">
        <x:v>Direct</x:v>
      </x:c>
      <x:c r="D10" s="50" t="str">
        <x:v>TEAM-06</x:v>
      </x:c>
    </x:row>
    <x:row r="11">
      <x:c r="A11" s="50" t="str">
        <x:v>SYN0008</x:v>
      </x:c>
      <x:c r="B11" s="51" t="n">
        <x:v>46259</x:v>
      </x:c>
      <x:c r="C11" s="50" t="str">
        <x:v>Direct</x:v>
      </x:c>
      <x:c r="D11" s="50" t="str">
        <x:v>TEAM-03</x:v>
      </x:c>
    </x:row>
    <x:row r="12">
      <x:c r="A12" s="50" t="str">
        <x:v>SYN0009</x:v>
      </x:c>
      <x:c r="B12" s="51" t="n">
        <x:v>46246</x:v>
      </x:c>
      <x:c r="C12" s="50" t="str">
        <x:v>Direct</x:v>
      </x:c>
      <x:c r="D12" s="50" t="str">
        <x:v>TEAM-04</x:v>
      </x:c>
    </x:row>
    <x:row r="13">
      <x:c r="A13" s="50" t="str">
        <x:v>SYN0010</x:v>
      </x:c>
      <x:c r="B13" s="51" t="n">
        <x:v>46098</x:v>
      </x:c>
      <x:c r="C13" s="50" t="str">
        <x:v>Direct</x:v>
      </x:c>
      <x:c r="D13" s="50" t="str">
        <x:v>TEAM-04</x:v>
      </x:c>
    </x:row>
    <x:row r="14">
      <x:c r="A14" s="50" t="str">
        <x:v>SYN0011</x:v>
      </x:c>
      <x:c r="B14" s="51" t="n">
        <x:v>46038</x:v>
      </x:c>
      <x:c r="C14" s="50" t="str">
        <x:v>Direct</x:v>
      </x:c>
      <x:c r="D14" s="50" t="str">
        <x:v>TEAM-04</x:v>
      </x:c>
    </x:row>
    <x:row r="15">
      <x:c r="A15" s="50" t="str">
        <x:v>SYN0012</x:v>
      </x:c>
      <x:c r="B15" s="51" t="n">
        <x:v>46026</x:v>
      </x:c>
      <x:c r="C15" s="50" t="str">
        <x:v>Employer</x:v>
      </x:c>
      <x:c r="D15" s="50" t="str">
        <x:v>TEAM-05</x:v>
      </x:c>
    </x:row>
    <x:row r="16">
      <x:c r="A16" s="50" t="str">
        <x:v>SYN0013</x:v>
      </x:c>
      <x:c r="B16" s="51" t="n">
        <x:v>46100</x:v>
      </x:c>
      <x:c r="C16" s="50" t="str">
        <x:v>Direct</x:v>
      </x:c>
      <x:c r="D16" s="50" t="str">
        <x:v>TEAM-04</x:v>
      </x:c>
    </x:row>
    <x:row r="17">
      <x:c r="A17" s="50" t="str">
        <x:v>SYN0014</x:v>
      </x:c>
      <x:c r="B17" s="51" t="n">
        <x:v>46193</x:v>
      </x:c>
      <x:c r="C17" s="50" t="str">
        <x:v>Employer</x:v>
      </x:c>
      <x:c r="D17" s="50" t="str">
        <x:v>TEAM-04</x:v>
      </x:c>
    </x:row>
    <x:row r="18">
      <x:c r="A18" s="50" t="str">
        <x:v>SYN0015</x:v>
      </x:c>
      <x:c r="B18" s="51" t="n">
        <x:v>46243</x:v>
      </x:c>
      <x:c r="C18" s="50" t="str">
        <x:v>Direct</x:v>
      </x:c>
      <x:c r="D18" s="50" t="str">
        <x:v>TEAM-01</x:v>
      </x:c>
    </x:row>
    <x:row r="19">
      <x:c r="A19" s="50" t="str">
        <x:v>SYN0016</x:v>
      </x:c>
      <x:c r="B19" s="51" t="n">
        <x:v>46234</x:v>
      </x:c>
      <x:c r="C19" s="50" t="str">
        <x:v>Direct</x:v>
      </x:c>
      <x:c r="D19" s="50" t="str">
        <x:v>TEAM-03</x:v>
      </x:c>
    </x:row>
    <x:row r="20">
      <x:c r="A20" s="50" t="str">
        <x:v>SYN0017</x:v>
      </x:c>
      <x:c r="B20" s="51" t="n">
        <x:v>46261</x:v>
      </x:c>
      <x:c r="C20" s="50" t="str">
        <x:v>Direct</x:v>
      </x:c>
      <x:c r="D20" s="50" t="str">
        <x:v>TEAM-04</x:v>
      </x:c>
    </x:row>
    <x:row r="21">
      <x:c r="A21" s="50" t="str">
        <x:v>SYN0018</x:v>
      </x:c>
      <x:c r="B21" s="51" t="n">
        <x:v>46238</x:v>
      </x:c>
      <x:c r="C21" s="50" t="str">
        <x:v>Direct</x:v>
      </x:c>
      <x:c r="D21" s="50" t="str">
        <x:v>TEAM-03</x:v>
      </x:c>
    </x:row>
    <x:row r="22">
      <x:c r="A22" s="50" t="str">
        <x:v>SYN0019</x:v>
      </x:c>
      <x:c r="B22" s="51" t="n">
        <x:v>46204</x:v>
      </x:c>
      <x:c r="C22" s="50" t="str">
        <x:v>Direct</x:v>
      </x:c>
      <x:c r="D22" s="50" t="str">
        <x:v>TEAM-05</x:v>
      </x:c>
    </x:row>
    <x:row r="23">
      <x:c r="A23" s="50" t="str">
        <x:v>SYN0020</x:v>
      </x:c>
      <x:c r="B23" s="51" t="n">
        <x:v>46049</x:v>
      </x:c>
      <x:c r="C23" s="50" t="str">
        <x:v>Direct</x:v>
      </x:c>
      <x:c r="D23" s="50" t="str">
        <x:v>TEAM-06</x:v>
      </x:c>
    </x:row>
    <x:row r="24">
      <x:c r="A24" s="50" t="str">
        <x:v>SYN0021</x:v>
      </x:c>
      <x:c r="B24" s="51" t="n">
        <x:v>46181</x:v>
      </x:c>
      <x:c r="C24" s="50" t="str">
        <x:v>Direct</x:v>
      </x:c>
      <x:c r="D24" s="50" t="str">
        <x:v>TEAM-03</x:v>
      </x:c>
    </x:row>
    <x:row r="25">
      <x:c r="A25" s="50" t="str">
        <x:v>SYN0022</x:v>
      </x:c>
      <x:c r="B25" s="51" t="n">
        <x:v>46121</x:v>
      </x:c>
      <x:c r="C25" s="50" t="str">
        <x:v>Direct</x:v>
      </x:c>
      <x:c r="D25" s="50" t="str">
        <x:v>TEAM-03</x:v>
      </x:c>
    </x:row>
    <x:row r="26">
      <x:c r="A26" s="50" t="str">
        <x:v>SYN0023</x:v>
      </x:c>
      <x:c r="B26" s="51" t="n">
        <x:v>46254</x:v>
      </x:c>
      <x:c r="C26" s="50" t="str">
        <x:v>Direct</x:v>
      </x:c>
      <x:c r="D26" s="50" t="str">
        <x:v>TEAM-03</x:v>
      </x:c>
    </x:row>
    <x:row r="27">
      <x:c r="A27" s="50" t="str">
        <x:v>SYN0024</x:v>
      </x:c>
      <x:c r="B27" s="51" t="n">
        <x:v>46213</x:v>
      </x:c>
      <x:c r="C27" s="50" t="str">
        <x:v>Direct</x:v>
      </x:c>
      <x:c r="D27" s="50" t="str">
        <x:v>TEAM-01</x:v>
      </x:c>
    </x:row>
    <x:row r="28">
      <x:c r="A28" s="50" t="str">
        <x:v>SYN0025</x:v>
      </x:c>
      <x:c r="B28" s="51" t="n">
        <x:v>46125</x:v>
      </x:c>
      <x:c r="C28" s="50" t="str">
        <x:v>Employer</x:v>
      </x:c>
      <x:c r="D28" s="50" t="str">
        <x:v>TEAM-01</x:v>
      </x:c>
    </x:row>
    <x:row r="29">
      <x:c r="A29" s="50" t="str">
        <x:v>SYN0026</x:v>
      </x:c>
      <x:c r="B29" s="51" t="n">
        <x:v>46108</x:v>
      </x:c>
      <x:c r="C29" s="50" t="str">
        <x:v>Direct</x:v>
      </x:c>
      <x:c r="D29" s="50" t="str">
        <x:v>TEAM-05</x:v>
      </x:c>
    </x:row>
    <x:row r="30">
      <x:c r="A30" s="50" t="str">
        <x:v>SYN0027</x:v>
      </x:c>
      <x:c r="B30" s="51" t="n">
        <x:v>46104</x:v>
      </x:c>
      <x:c r="C30" s="50" t="str">
        <x:v>Direct</x:v>
      </x:c>
      <x:c r="D30" s="50" t="str">
        <x:v>TEAM-05</x:v>
      </x:c>
    </x:row>
    <x:row r="31">
      <x:c r="A31" s="50" t="str">
        <x:v>SYN0028</x:v>
      </x:c>
      <x:c r="B31" s="51" t="n">
        <x:v>46074</x:v>
      </x:c>
      <x:c r="C31" s="50" t="str">
        <x:v>Employer</x:v>
      </x:c>
      <x:c r="D31" s="50" t="str">
        <x:v>TEAM-01</x:v>
      </x:c>
    </x:row>
    <x:row r="32">
      <x:c r="A32" s="50" t="str">
        <x:v>SYN0029</x:v>
      </x:c>
      <x:c r="B32" s="51" t="n">
        <x:v>46026</x:v>
      </x:c>
      <x:c r="C32" s="50" t="str">
        <x:v>Direct</x:v>
      </x:c>
      <x:c r="D32" s="50" t="str">
        <x:v>TEAM-03</x:v>
      </x:c>
    </x:row>
    <x:row r="33">
      <x:c r="A33" s="50" t="str">
        <x:v>SYN0030</x:v>
      </x:c>
      <x:c r="B33" s="51" t="n">
        <x:v>46097</x:v>
      </x:c>
      <x:c r="C33" s="50" t="str">
        <x:v>Employer</x:v>
      </x:c>
      <x:c r="D33" s="50" t="str">
        <x:v>TEAM-03</x:v>
      </x:c>
    </x:row>
    <x:row r="34">
      <x:c r="A34" s="50" t="str">
        <x:v>SYN0031</x:v>
      </x:c>
      <x:c r="B34" s="51" t="n">
        <x:v>46241</x:v>
      </x:c>
      <x:c r="C34" s="50" t="str">
        <x:v>Employer</x:v>
      </x:c>
      <x:c r="D34" s="50" t="str">
        <x:v>TEAM-02</x:v>
      </x:c>
    </x:row>
    <x:row r="35">
      <x:c r="A35" s="50" t="str">
        <x:v>SYN0032</x:v>
      </x:c>
      <x:c r="B35" s="51" t="n">
        <x:v>46025</x:v>
      </x:c>
      <x:c r="C35" s="50" t="str">
        <x:v>Direct</x:v>
      </x:c>
      <x:c r="D35" s="50" t="str">
        <x:v>TEAM-05</x:v>
      </x:c>
    </x:row>
    <x:row r="36">
      <x:c r="A36" s="50" t="str">
        <x:v>SYN0033</x:v>
      </x:c>
      <x:c r="B36" s="51" t="n">
        <x:v>46221</x:v>
      </x:c>
      <x:c r="C36" s="50" t="str">
        <x:v>Employer</x:v>
      </x:c>
      <x:c r="D36" s="50" t="str">
        <x:v>TEAM-02</x:v>
      </x:c>
    </x:row>
    <x:row r="37">
      <x:c r="A37" s="50" t="str">
        <x:v>SYN0034</x:v>
      </x:c>
      <x:c r="B37" s="51" t="n">
        <x:v>46193</x:v>
      </x:c>
      <x:c r="C37" s="50" t="str">
        <x:v>Direct</x:v>
      </x:c>
      <x:c r="D37" s="50" t="str">
        <x:v>TEAM-05</x:v>
      </x:c>
    </x:row>
    <x:row r="38">
      <x:c r="A38" s="50" t="str">
        <x:v>SYN0035</x:v>
      </x:c>
      <x:c r="B38" s="51" t="n">
        <x:v>46219</x:v>
      </x:c>
      <x:c r="C38" s="50" t="str">
        <x:v>Direct</x:v>
      </x:c>
      <x:c r="D38" s="50" t="str">
        <x:v>TEAM-05</x:v>
      </x:c>
    </x:row>
    <x:row r="39">
      <x:c r="A39" s="50" t="str">
        <x:v>SYN0036</x:v>
      </x:c>
      <x:c r="B39" s="51" t="n">
        <x:v>46052</x:v>
      </x:c>
      <x:c r="C39" s="50" t="str">
        <x:v>Direct</x:v>
      </x:c>
      <x:c r="D39" s="50" t="str">
        <x:v>TEAM-05</x:v>
      </x:c>
    </x:row>
    <x:row r="40">
      <x:c r="A40" s="50" t="str">
        <x:v>SYN0037</x:v>
      </x:c>
      <x:c r="B40" s="51" t="n">
        <x:v>46035</x:v>
      </x:c>
      <x:c r="C40" s="50" t="str">
        <x:v>Employer</x:v>
      </x:c>
      <x:c r="D40" s="50" t="str">
        <x:v>TEAM-06</x:v>
      </x:c>
    </x:row>
    <x:row r="41">
      <x:c r="A41" s="50" t="str">
        <x:v>SYN0038</x:v>
      </x:c>
      <x:c r="B41" s="51" t="n">
        <x:v>46087</x:v>
      </x:c>
      <x:c r="C41" s="50" t="str">
        <x:v>Direct</x:v>
      </x:c>
      <x:c r="D41" s="50" t="str">
        <x:v>TEAM-02</x:v>
      </x:c>
    </x:row>
    <x:row r="42">
      <x:c r="A42" s="50" t="str">
        <x:v>SYN0039</x:v>
      </x:c>
      <x:c r="B42" s="51" t="n">
        <x:v>46245</x:v>
      </x:c>
      <x:c r="C42" s="50" t="str">
        <x:v>Employer</x:v>
      </x:c>
      <x:c r="D42" s="50" t="str">
        <x:v>TEAM-01</x:v>
      </x:c>
    </x:row>
    <x:row r="43">
      <x:c r="A43" s="50" t="str">
        <x:v>SYN0040</x:v>
      </x:c>
      <x:c r="B43" s="51" t="n">
        <x:v>46114</x:v>
      </x:c>
      <x:c r="C43" s="50" t="str">
        <x:v>Direct</x:v>
      </x:c>
      <x:c r="D43" s="50" t="str">
        <x:v>TEAM-06</x:v>
      </x:c>
    </x:row>
    <x:row r="44">
      <x:c r="A44" s="50" t="str">
        <x:v>SYN0041</x:v>
      </x:c>
      <x:c r="B44" s="51" t="n">
        <x:v>46170</x:v>
      </x:c>
      <x:c r="C44" s="50" t="str">
        <x:v>Direct</x:v>
      </x:c>
      <x:c r="D44" s="50" t="str">
        <x:v>TEAM-05</x:v>
      </x:c>
    </x:row>
    <x:row r="45">
      <x:c r="A45" s="50" t="str">
        <x:v>SYN0042</x:v>
      </x:c>
      <x:c r="B45" s="51" t="n">
        <x:v>46231</x:v>
      </x:c>
      <x:c r="C45" s="50" t="str">
        <x:v>Direct</x:v>
      </x:c>
      <x:c r="D45" s="50" t="str">
        <x:v>TEAM-02</x:v>
      </x:c>
    </x:row>
    <x:row r="46">
      <x:c r="A46" s="50" t="str">
        <x:v>SYN0043</x:v>
      </x:c>
      <x:c r="B46" s="51" t="n">
        <x:v>46063</x:v>
      </x:c>
      <x:c r="C46" s="50" t="str">
        <x:v>Direct</x:v>
      </x:c>
      <x:c r="D46" s="50" t="str">
        <x:v>TEAM-03</x:v>
      </x:c>
    </x:row>
    <x:row r="47">
      <x:c r="A47" s="50" t="str">
        <x:v>SYN0044</x:v>
      </x:c>
      <x:c r="B47" s="51" t="n">
        <x:v>46186</x:v>
      </x:c>
      <x:c r="C47" s="50" t="str">
        <x:v>Direct</x:v>
      </x:c>
      <x:c r="D47" s="50" t="str">
        <x:v>TEAM-06</x:v>
      </x:c>
    </x:row>
    <x:row r="48">
      <x:c r="A48" s="50" t="str">
        <x:v>SYN0045</x:v>
      </x:c>
      <x:c r="B48" s="51" t="n">
        <x:v>46174</x:v>
      </x:c>
      <x:c r="C48" s="50" t="str">
        <x:v>Direct</x:v>
      </x:c>
      <x:c r="D48" s="50" t="str">
        <x:v>TEAM-03</x:v>
      </x:c>
    </x:row>
    <x:row r="49">
      <x:c r="A49" s="50" t="str">
        <x:v>SYN0046</x:v>
      </x:c>
      <x:c r="B49" s="51" t="n">
        <x:v>46108</x:v>
      </x:c>
      <x:c r="C49" s="50" t="str">
        <x:v>Employer</x:v>
      </x:c>
      <x:c r="D49" s="50" t="str">
        <x:v>TEAM-01</x:v>
      </x:c>
    </x:row>
    <x:row r="50">
      <x:c r="A50" s="50" t="str">
        <x:v>SYN0047</x:v>
      </x:c>
      <x:c r="B50" s="51" t="n">
        <x:v>46146</x:v>
      </x:c>
      <x:c r="C50" s="50" t="str">
        <x:v>Direct</x:v>
      </x:c>
      <x:c r="D50" s="50" t="str">
        <x:v>TEAM-04</x:v>
      </x:c>
    </x:row>
    <x:row r="51">
      <x:c r="A51" s="50" t="str">
        <x:v>SYN0048</x:v>
      </x:c>
      <x:c r="B51" s="51" t="n">
        <x:v>46174</x:v>
      </x:c>
      <x:c r="C51" s="50" t="str">
        <x:v>Direct</x:v>
      </x:c>
      <x:c r="D51" s="50" t="str">
        <x:v>TEAM-03</x:v>
      </x:c>
    </x:row>
    <x:row r="52">
      <x:c r="A52" s="50" t="str">
        <x:v>SYN0049</x:v>
      </x:c>
      <x:c r="B52" s="51" t="n">
        <x:v>46070</x:v>
      </x:c>
      <x:c r="C52" s="50" t="str">
        <x:v>Direct</x:v>
      </x:c>
      <x:c r="D52" s="50" t="str">
        <x:v>TEAM-04</x:v>
      </x:c>
    </x:row>
    <x:row r="53">
      <x:c r="A53" s="50" t="str">
        <x:v>SYN0050</x:v>
      </x:c>
      <x:c r="B53" s="51" t="n">
        <x:v>46113</x:v>
      </x:c>
      <x:c r="C53" s="50" t="str">
        <x:v>Employer</x:v>
      </x:c>
      <x:c r="D53" s="50" t="str">
        <x:v>TEAM-06</x:v>
      </x:c>
    </x:row>
    <x:row r="54">
      <x:c r="A54" s="50" t="str">
        <x:v>SYN0051</x:v>
      </x:c>
      <x:c r="B54" s="51" t="n">
        <x:v>46189</x:v>
      </x:c>
      <x:c r="C54" s="50" t="str">
        <x:v>Direct</x:v>
      </x:c>
      <x:c r="D54" s="50" t="str">
        <x:v>TEAM-02</x:v>
      </x:c>
    </x:row>
    <x:row r="55">
      <x:c r="A55" s="50" t="str">
        <x:v>SYN0052</x:v>
      </x:c>
      <x:c r="B55" s="51" t="n">
        <x:v>46260</x:v>
      </x:c>
      <x:c r="C55" s="50" t="str">
        <x:v>Direct</x:v>
      </x:c>
      <x:c r="D55" s="50" t="str">
        <x:v>TEAM-05</x:v>
      </x:c>
    </x:row>
    <x:row r="56">
      <x:c r="A56" s="50" t="str">
        <x:v>SYN0053</x:v>
      </x:c>
      <x:c r="B56" s="51" t="n">
        <x:v>46148</x:v>
      </x:c>
      <x:c r="C56" s="50" t="str">
        <x:v>Direct</x:v>
      </x:c>
      <x:c r="D56" s="50" t="str">
        <x:v>TEAM-04</x:v>
      </x:c>
    </x:row>
    <x:row r="57">
      <x:c r="A57" s="50" t="str">
        <x:v>SYN0054</x:v>
      </x:c>
      <x:c r="B57" s="51" t="n">
        <x:v>46039</x:v>
      </x:c>
      <x:c r="C57" s="50" t="str">
        <x:v>Direct</x:v>
      </x:c>
      <x:c r="D57" s="50" t="str">
        <x:v>TEAM-01</x:v>
      </x:c>
    </x:row>
    <x:row r="58">
      <x:c r="A58" s="50" t="str">
        <x:v>SYN0055</x:v>
      </x:c>
      <x:c r="B58" s="51" t="n">
        <x:v>46208</x:v>
      </x:c>
      <x:c r="C58" s="50" t="str">
        <x:v>Direct</x:v>
      </x:c>
      <x:c r="D58" s="50" t="str">
        <x:v>TEAM-04</x:v>
      </x:c>
    </x:row>
    <x:row r="59">
      <x:c r="A59" s="50" t="str">
        <x:v>SYN0056</x:v>
      </x:c>
      <x:c r="B59" s="51" t="n">
        <x:v>46090</x:v>
      </x:c>
      <x:c r="C59" s="50" t="str">
        <x:v>Direct</x:v>
      </x:c>
      <x:c r="D59" s="50" t="str">
        <x:v>TEAM-03</x:v>
      </x:c>
    </x:row>
    <x:row r="60">
      <x:c r="A60" s="50" t="str">
        <x:v>SYN0057</x:v>
      </x:c>
      <x:c r="B60" s="51" t="n">
        <x:v>46157</x:v>
      </x:c>
      <x:c r="C60" s="50" t="str">
        <x:v>Employer</x:v>
      </x:c>
      <x:c r="D60" s="50" t="str">
        <x:v>TEAM-05</x:v>
      </x:c>
    </x:row>
    <x:row r="61">
      <x:c r="A61" s="50" t="str">
        <x:v>SYN0058</x:v>
      </x:c>
      <x:c r="B61" s="51" t="n">
        <x:v>46123</x:v>
      </x:c>
      <x:c r="C61" s="50" t="str">
        <x:v>Direct</x:v>
      </x:c>
      <x:c r="D61" s="50" t="str">
        <x:v>TEAM-03</x:v>
      </x:c>
    </x:row>
    <x:row r="62">
      <x:c r="A62" s="50" t="str">
        <x:v>SYN0059</x:v>
      </x:c>
      <x:c r="B62" s="51" t="n">
        <x:v>46185</x:v>
      </x:c>
      <x:c r="C62" s="50" t="str">
        <x:v>Direct</x:v>
      </x:c>
      <x:c r="D62" s="50" t="str">
        <x:v>TEAM-01</x:v>
      </x:c>
    </x:row>
    <x:row r="63">
      <x:c r="A63" s="50" t="str">
        <x:v>SYN0060</x:v>
      </x:c>
      <x:c r="B63" s="51" t="n">
        <x:v>46099</x:v>
      </x:c>
      <x:c r="C63" s="50" t="str">
        <x:v>Direct</x:v>
      </x:c>
      <x:c r="D63" s="50" t="str">
        <x:v>TEAM-04</x:v>
      </x:c>
    </x:row>
    <x:row r="64">
      <x:c r="A64" s="50" t="str">
        <x:v>SYN0061</x:v>
      </x:c>
      <x:c r="B64" s="51" t="n">
        <x:v>46075</x:v>
      </x:c>
      <x:c r="C64" s="50" t="str">
        <x:v>Direct</x:v>
      </x:c>
      <x:c r="D64" s="50" t="str">
        <x:v>TEAM-05</x:v>
      </x:c>
    </x:row>
    <x:row r="65">
      <x:c r="A65" s="50" t="str">
        <x:v>SYN0062</x:v>
      </x:c>
      <x:c r="B65" s="51" t="n">
        <x:v>46031</x:v>
      </x:c>
      <x:c r="C65" s="50" t="str">
        <x:v>Direct</x:v>
      </x:c>
      <x:c r="D65" s="50" t="str">
        <x:v>TEAM-04</x:v>
      </x:c>
    </x:row>
    <x:row r="66">
      <x:c r="A66" s="50" t="str">
        <x:v>SYN0063</x:v>
      </x:c>
      <x:c r="B66" s="51" t="n">
        <x:v>46084</x:v>
      </x:c>
      <x:c r="C66" s="50" t="str">
        <x:v>Direct</x:v>
      </x:c>
      <x:c r="D66" s="50" t="str">
        <x:v>TEAM-06</x:v>
      </x:c>
    </x:row>
    <x:row r="67">
      <x:c r="A67" s="50" t="str">
        <x:v>SYN0064</x:v>
      </x:c>
      <x:c r="B67" s="51" t="n">
        <x:v>46116</x:v>
      </x:c>
      <x:c r="C67" s="50" t="str">
        <x:v>Employer</x:v>
      </x:c>
      <x:c r="D67" s="50" t="str">
        <x:v>TEAM-06</x:v>
      </x:c>
    </x:row>
    <x:row r="68">
      <x:c r="A68" s="50" t="str">
        <x:v>SYN0065</x:v>
      </x:c>
      <x:c r="B68" s="51" t="n">
        <x:v>46256</x:v>
      </x:c>
      <x:c r="C68" s="50" t="str">
        <x:v>Direct</x:v>
      </x:c>
      <x:c r="D68" s="50" t="str">
        <x:v>TEAM-01</x:v>
      </x:c>
    </x:row>
    <x:row r="69">
      <x:c r="A69" s="50" t="str">
        <x:v>SYN0066</x:v>
      </x:c>
      <x:c r="B69" s="51" t="n">
        <x:v>46258</x:v>
      </x:c>
      <x:c r="C69" s="50" t="str">
        <x:v>Employer</x:v>
      </x:c>
      <x:c r="D69" s="50" t="str">
        <x:v>TEAM-01</x:v>
      </x:c>
    </x:row>
    <x:row r="70">
      <x:c r="A70" s="50" t="str">
        <x:v>SYN0067</x:v>
      </x:c>
      <x:c r="B70" s="51" t="n">
        <x:v>46221</x:v>
      </x:c>
      <x:c r="C70" s="50" t="str">
        <x:v>Direct</x:v>
      </x:c>
      <x:c r="D70" s="50" t="str">
        <x:v>TEAM-01</x:v>
      </x:c>
    </x:row>
    <x:row r="71">
      <x:c r="A71" s="50" t="str">
        <x:v>SYN0068</x:v>
      </x:c>
      <x:c r="B71" s="51" t="n">
        <x:v>46107</x:v>
      </x:c>
      <x:c r="C71" s="50" t="str">
        <x:v>Employer</x:v>
      </x:c>
      <x:c r="D71" s="50" t="str">
        <x:v>TEAM-05</x:v>
      </x:c>
    </x:row>
    <x:row r="72">
      <x:c r="A72" s="50" t="str">
        <x:v>SYN0069</x:v>
      </x:c>
      <x:c r="B72" s="51" t="n">
        <x:v>46234</x:v>
      </x:c>
      <x:c r="C72" s="50" t="str">
        <x:v>Direct</x:v>
      </x:c>
      <x:c r="D72" s="50" t="str">
        <x:v>TEAM-03</x:v>
      </x:c>
    </x:row>
    <x:row r="73">
      <x:c r="A73" s="50" t="str">
        <x:v>SYN0070</x:v>
      </x:c>
      <x:c r="B73" s="51" t="n">
        <x:v>46031</x:v>
      </x:c>
      <x:c r="C73" s="50" t="str">
        <x:v>Employer</x:v>
      </x:c>
      <x:c r="D73" s="50" t="str">
        <x:v>TEAM-01</x:v>
      </x:c>
    </x:row>
    <x:row r="74">
      <x:c r="A74" s="50" t="str">
        <x:v>SYN0071</x:v>
      </x:c>
      <x:c r="B74" s="51" t="n">
        <x:v>46043</x:v>
      </x:c>
      <x:c r="C74" s="50" t="str">
        <x:v>Direct</x:v>
      </x:c>
      <x:c r="D74" s="50" t="str">
        <x:v>TEAM-02</x:v>
      </x:c>
    </x:row>
    <x:row r="75">
      <x:c r="A75" s="50" t="str">
        <x:v>SYN0072</x:v>
      </x:c>
      <x:c r="B75" s="51" t="n">
        <x:v>46265</x:v>
      </x:c>
      <x:c r="C75" s="50" t="str">
        <x:v>Direct</x:v>
      </x:c>
      <x:c r="D75" s="50" t="str">
        <x:v>TEAM-05</x:v>
      </x:c>
    </x:row>
    <x:row r="76">
      <x:c r="A76" s="50" t="str">
        <x:v>SYN0073</x:v>
      </x:c>
      <x:c r="B76" s="51" t="n">
        <x:v>46240</x:v>
      </x:c>
      <x:c r="C76" s="50" t="str">
        <x:v>Direct</x:v>
      </x:c>
      <x:c r="D76" s="50" t="str">
        <x:v>TEAM-06</x:v>
      </x:c>
    </x:row>
    <x:row r="77">
      <x:c r="A77" s="50" t="str">
        <x:v>SYN0074</x:v>
      </x:c>
      <x:c r="B77" s="51" t="n">
        <x:v>46165</x:v>
      </x:c>
      <x:c r="C77" s="50" t="str">
        <x:v>Direct</x:v>
      </x:c>
      <x:c r="D77" s="50" t="str">
        <x:v>TEAM-04</x:v>
      </x:c>
    </x:row>
    <x:row r="78">
      <x:c r="A78" s="50" t="str">
        <x:v>SYN0075</x:v>
      </x:c>
      <x:c r="B78" s="51" t="n">
        <x:v>46122</x:v>
      </x:c>
      <x:c r="C78" s="50" t="str">
        <x:v>Direct</x:v>
      </x:c>
      <x:c r="D78" s="50" t="str">
        <x:v>TEAM-01</x:v>
      </x:c>
    </x:row>
    <x:row r="79">
      <x:c r="A79" s="50" t="str">
        <x:v>SYN0076</x:v>
      </x:c>
      <x:c r="B79" s="51" t="n">
        <x:v>46159</x:v>
      </x:c>
      <x:c r="C79" s="50" t="str">
        <x:v>Direct</x:v>
      </x:c>
      <x:c r="D79" s="50" t="str">
        <x:v>TEAM-02</x:v>
      </x:c>
    </x:row>
    <x:row r="80">
      <x:c r="A80" s="50" t="str">
        <x:v>SYN0077</x:v>
      </x:c>
      <x:c r="B80" s="51" t="n">
        <x:v>46066</x:v>
      </x:c>
      <x:c r="C80" s="50" t="str">
        <x:v>Direct</x:v>
      </x:c>
      <x:c r="D80" s="50" t="str">
        <x:v>TEAM-01</x:v>
      </x:c>
    </x:row>
    <x:row r="81">
      <x:c r="A81" s="50" t="str">
        <x:v>SYN0078</x:v>
      </x:c>
      <x:c r="B81" s="51" t="n">
        <x:v>46204</x:v>
      </x:c>
      <x:c r="C81" s="50" t="str">
        <x:v>Direct</x:v>
      </x:c>
      <x:c r="D81" s="50" t="str">
        <x:v>TEAM-05</x:v>
      </x:c>
    </x:row>
    <x:row r="82">
      <x:c r="A82" s="50" t="str">
        <x:v>SYN0079</x:v>
      </x:c>
      <x:c r="B82" s="51" t="n">
        <x:v>46132</x:v>
      </x:c>
      <x:c r="C82" s="50" t="str">
        <x:v>Direct</x:v>
      </x:c>
      <x:c r="D82" s="50" t="str">
        <x:v>TEAM-05</x:v>
      </x:c>
    </x:row>
    <x:row r="83">
      <x:c r="A83" s="50" t="str">
        <x:v>SYN0080</x:v>
      </x:c>
      <x:c r="B83" s="51" t="n">
        <x:v>46213</x:v>
      </x:c>
      <x:c r="C83" s="50" t="str">
        <x:v>Direct</x:v>
      </x:c>
      <x:c r="D83" s="50" t="str">
        <x:v>TEAM-03</x:v>
      </x:c>
    </x:row>
    <x:row r="84">
      <x:c r="A84" s="50" t="str">
        <x:v>SYN0081</x:v>
      </x:c>
      <x:c r="B84" s="51" t="n">
        <x:v>46039</x:v>
      </x:c>
      <x:c r="C84" s="50" t="str">
        <x:v>Direct</x:v>
      </x:c>
      <x:c r="D84" s="50" t="str">
        <x:v>TEAM-02</x:v>
      </x:c>
    </x:row>
    <x:row r="85">
      <x:c r="A85" s="50" t="str">
        <x:v>SYN0082</x:v>
      </x:c>
      <x:c r="B85" s="51" t="n">
        <x:v>46123</x:v>
      </x:c>
      <x:c r="C85" s="50" t="str">
        <x:v>Employer</x:v>
      </x:c>
      <x:c r="D85" s="50" t="str">
        <x:v>TEAM-03</x:v>
      </x:c>
    </x:row>
    <x:row r="86">
      <x:c r="A86" s="50" t="str">
        <x:v>SYN0083</x:v>
      </x:c>
      <x:c r="B86" s="51" t="n">
        <x:v>46024</x:v>
      </x:c>
      <x:c r="C86" s="50" t="str">
        <x:v>Direct</x:v>
      </x:c>
      <x:c r="D86" s="50" t="str">
        <x:v>TEAM-02</x:v>
      </x:c>
    </x:row>
    <x:row r="87">
      <x:c r="A87" s="50" t="str">
        <x:v>SYN0084</x:v>
      </x:c>
      <x:c r="B87" s="51" t="n">
        <x:v>46043</x:v>
      </x:c>
      <x:c r="C87" s="50" t="str">
        <x:v>Direct</x:v>
      </x:c>
      <x:c r="D87" s="50" t="str">
        <x:v>TEAM-02</x:v>
      </x:c>
    </x:row>
    <x:row r="88">
      <x:c r="A88" s="50" t="str">
        <x:v>SYN0085</x:v>
      </x:c>
      <x:c r="B88" s="51" t="n">
        <x:v>46036</x:v>
      </x:c>
      <x:c r="C88" s="50" t="str">
        <x:v>Employer</x:v>
      </x:c>
      <x:c r="D88" s="50" t="str">
        <x:v>TEAM-02</x:v>
      </x:c>
    </x:row>
    <x:row r="89">
      <x:c r="A89" s="50" t="str">
        <x:v>SYN0086</x:v>
      </x:c>
      <x:c r="B89" s="51" t="n">
        <x:v>46048</x:v>
      </x:c>
      <x:c r="C89" s="50" t="str">
        <x:v>Direct</x:v>
      </x:c>
      <x:c r="D89" s="50" t="str">
        <x:v>TEAM-04</x:v>
      </x:c>
    </x:row>
    <x:row r="90">
      <x:c r="A90" s="50" t="str">
        <x:v>SYN0087</x:v>
      </x:c>
      <x:c r="B90" s="51" t="n">
        <x:v>46118</x:v>
      </x:c>
      <x:c r="C90" s="50" t="str">
        <x:v>Employer</x:v>
      </x:c>
      <x:c r="D90" s="50" t="str">
        <x:v>TEAM-05</x:v>
      </x:c>
    </x:row>
    <x:row r="91">
      <x:c r="A91" s="50" t="str">
        <x:v>SYN0088</x:v>
      </x:c>
      <x:c r="B91" s="51" t="n">
        <x:v>46258</x:v>
      </x:c>
      <x:c r="C91" s="50" t="str">
        <x:v>Direct</x:v>
      </x:c>
      <x:c r="D91" s="50" t="str">
        <x:v>TEAM-01</x:v>
      </x:c>
    </x:row>
    <x:row r="92">
      <x:c r="A92" s="50" t="str">
        <x:v>SYN0089</x:v>
      </x:c>
      <x:c r="B92" s="51" t="n">
        <x:v>46071</x:v>
      </x:c>
      <x:c r="C92" s="50" t="str">
        <x:v>Direct</x:v>
      </x:c>
      <x:c r="D92" s="50" t="str">
        <x:v>TEAM-05</x:v>
      </x:c>
    </x:row>
    <x:row r="93">
      <x:c r="A93" s="50" t="str">
        <x:v>SYN0090</x:v>
      </x:c>
      <x:c r="B93" s="51" t="n">
        <x:v>46101</x:v>
      </x:c>
      <x:c r="C93" s="50" t="str">
        <x:v>Direct</x:v>
      </x:c>
      <x:c r="D93" s="50" t="str">
        <x:v>TEAM-03</x:v>
      </x:c>
    </x:row>
    <x:row r="94">
      <x:c r="A94" s="50" t="str">
        <x:v>SYN0091</x:v>
      </x:c>
      <x:c r="B94" s="51" t="n">
        <x:v>46230</x:v>
      </x:c>
      <x:c r="C94" s="50" t="str">
        <x:v>Direct</x:v>
      </x:c>
      <x:c r="D94" s="50" t="str">
        <x:v>TEAM-02</x:v>
      </x:c>
    </x:row>
    <x:row r="95">
      <x:c r="A95" s="50" t="str">
        <x:v>SYN0092</x:v>
      </x:c>
      <x:c r="B95" s="51" t="n">
        <x:v>46162</x:v>
      </x:c>
      <x:c r="C95" s="50" t="str">
        <x:v>Direct</x:v>
      </x:c>
      <x:c r="D95" s="50" t="str">
        <x:v>TEAM-02</x:v>
      </x:c>
    </x:row>
    <x:row r="96">
      <x:c r="A96" s="50" t="str">
        <x:v>SYN0093</x:v>
      </x:c>
      <x:c r="B96" s="51" t="n">
        <x:v>46033</x:v>
      </x:c>
      <x:c r="C96" s="50" t="str">
        <x:v>Employer</x:v>
      </x:c>
      <x:c r="D96" s="50" t="str">
        <x:v>TEAM-01</x:v>
      </x:c>
    </x:row>
    <x:row r="97">
      <x:c r="A97" s="50" t="str">
        <x:v>SYN0094</x:v>
      </x:c>
      <x:c r="B97" s="51" t="n">
        <x:v>46107</x:v>
      </x:c>
      <x:c r="C97" s="50" t="str">
        <x:v>Direct</x:v>
      </x:c>
      <x:c r="D97" s="50" t="str">
        <x:v>TEAM-06</x:v>
      </x:c>
    </x:row>
    <x:row r="98">
      <x:c r="A98" s="50" t="str">
        <x:v>SYN0095</x:v>
      </x:c>
      <x:c r="B98" s="51" t="n">
        <x:v>46215</x:v>
      </x:c>
      <x:c r="C98" s="50" t="str">
        <x:v>Employer</x:v>
      </x:c>
      <x:c r="D98" s="50" t="str">
        <x:v>TEAM-06</x:v>
      </x:c>
    </x:row>
    <x:row r="99">
      <x:c r="A99" s="50" t="str">
        <x:v>SYN0096</x:v>
      </x:c>
      <x:c r="B99" s="51" t="n">
        <x:v>46128</x:v>
      </x:c>
      <x:c r="C99" s="50" t="str">
        <x:v>Direct</x:v>
      </x:c>
      <x:c r="D99" s="50" t="str">
        <x:v>TEAM-06</x:v>
      </x:c>
    </x:row>
    <x:row r="100">
      <x:c r="A100" s="50" t="str">
        <x:v>SYN0097</x:v>
      </x:c>
      <x:c r="B100" s="51" t="n">
        <x:v>46140</x:v>
      </x:c>
      <x:c r="C100" s="50" t="str">
        <x:v>Direct</x:v>
      </x:c>
      <x:c r="D100" s="50" t="str">
        <x:v>TEAM-04</x:v>
      </x:c>
    </x:row>
    <x:row r="101">
      <x:c r="A101" s="50" t="str">
        <x:v>SYN0098</x:v>
      </x:c>
      <x:c r="B101" s="51" t="n">
        <x:v>46189</x:v>
      </x:c>
      <x:c r="C101" s="50" t="str">
        <x:v>Direct</x:v>
      </x:c>
      <x:c r="D101" s="50" t="str">
        <x:v>TEAM-05</x:v>
      </x:c>
    </x:row>
    <x:row r="102">
      <x:c r="A102" s="50" t="str">
        <x:v>SYN0099</x:v>
      </x:c>
      <x:c r="B102" s="51" t="n">
        <x:v>46052</x:v>
      </x:c>
      <x:c r="C102" s="50" t="str">
        <x:v>Employer</x:v>
      </x:c>
      <x:c r="D102" s="50" t="str">
        <x:v>TEAM-01</x:v>
      </x:c>
    </x:row>
    <x:row r="103">
      <x:c r="A103" s="50" t="str">
        <x:v>SYN0100</x:v>
      </x:c>
      <x:c r="B103" s="51" t="n">
        <x:v>46222</x:v>
      </x:c>
      <x:c r="C103" s="50" t="str">
        <x:v>Direct</x:v>
      </x:c>
      <x:c r="D103" s="50" t="str">
        <x:v>TEAM-02</x:v>
      </x:c>
    </x:row>
    <x:row r="104">
      <x:c r="A104" s="50" t="str">
        <x:v>SYN0101</x:v>
      </x:c>
      <x:c r="B104" s="51" t="n">
        <x:v>46110</x:v>
      </x:c>
      <x:c r="C104" s="50" t="str">
        <x:v>Employer</x:v>
      </x:c>
      <x:c r="D104" s="50" t="str">
        <x:v>TEAM-05</x:v>
      </x:c>
    </x:row>
    <x:row r="105">
      <x:c r="A105" s="50" t="str">
        <x:v>SYN0102</x:v>
      </x:c>
      <x:c r="B105" s="51" t="n">
        <x:v>46202</x:v>
      </x:c>
      <x:c r="C105" s="50" t="str">
        <x:v>Direct</x:v>
      </x:c>
      <x:c r="D105" s="50" t="str">
        <x:v>TEAM-01</x:v>
      </x:c>
    </x:row>
    <x:row r="106">
      <x:c r="A106" s="50" t="str">
        <x:v>SYN0103</x:v>
      </x:c>
      <x:c r="B106" s="51" t="n">
        <x:v>46186</x:v>
      </x:c>
      <x:c r="C106" s="50" t="str">
        <x:v>Direct</x:v>
      </x:c>
      <x:c r="D106" s="50" t="str">
        <x:v>TEAM-02</x:v>
      </x:c>
    </x:row>
    <x:row r="107">
      <x:c r="A107" s="50" t="str">
        <x:v>SYN0104</x:v>
      </x:c>
      <x:c r="B107" s="51" t="n">
        <x:v>46186</x:v>
      </x:c>
      <x:c r="C107" s="50" t="str">
        <x:v>Employer</x:v>
      </x:c>
      <x:c r="D107" s="50" t="str">
        <x:v>TEAM-05</x:v>
      </x:c>
    </x:row>
    <x:row r="108">
      <x:c r="A108" s="50" t="str">
        <x:v>SYN0105</x:v>
      </x:c>
      <x:c r="B108" s="51" t="n">
        <x:v>46173</x:v>
      </x:c>
      <x:c r="C108" s="50" t="str">
        <x:v>Employer</x:v>
      </x:c>
      <x:c r="D108" s="50" t="str">
        <x:v>TEAM-05</x:v>
      </x:c>
    </x:row>
    <x:row r="109">
      <x:c r="A109" s="50" t="str">
        <x:v>SYN0106</x:v>
      </x:c>
      <x:c r="B109" s="51" t="n">
        <x:v>46249</x:v>
      </x:c>
      <x:c r="C109" s="50" t="str">
        <x:v>Direct</x:v>
      </x:c>
      <x:c r="D109" s="50" t="str">
        <x:v>TEAM-05</x:v>
      </x:c>
    </x:row>
    <x:row r="110">
      <x:c r="A110" s="50" t="str">
        <x:v>SYN0107</x:v>
      </x:c>
      <x:c r="B110" s="51" t="n">
        <x:v>46059</x:v>
      </x:c>
      <x:c r="C110" s="50" t="str">
        <x:v>Employer</x:v>
      </x:c>
      <x:c r="D110" s="50" t="str">
        <x:v>TEAM-03</x:v>
      </x:c>
    </x:row>
    <x:row r="111">
      <x:c r="A111" s="50" t="str">
        <x:v>SYN0108</x:v>
      </x:c>
      <x:c r="B111" s="51" t="n">
        <x:v>46205</x:v>
      </x:c>
      <x:c r="C111" s="50" t="str">
        <x:v>Employer</x:v>
      </x:c>
      <x:c r="D111" s="50" t="str">
        <x:v>TEAM-05</x:v>
      </x:c>
    </x:row>
    <x:row r="112">
      <x:c r="A112" s="50" t="str">
        <x:v>SYN0109</x:v>
      </x:c>
      <x:c r="B112" s="51" t="n">
        <x:v>46197</x:v>
      </x:c>
      <x:c r="C112" s="50" t="str">
        <x:v>Employer</x:v>
      </x:c>
      <x:c r="D112" s="50" t="str">
        <x:v>TEAM-03</x:v>
      </x:c>
    </x:row>
    <x:row r="113">
      <x:c r="A113" s="50" t="str">
        <x:v>SYN0110</x:v>
      </x:c>
      <x:c r="B113" s="51" t="n">
        <x:v>46262</x:v>
      </x:c>
      <x:c r="C113" s="50" t="str">
        <x:v>Employer</x:v>
      </x:c>
      <x:c r="D113" s="50" t="str">
        <x:v>TEAM-06</x:v>
      </x:c>
    </x:row>
    <x:row r="114">
      <x:c r="A114" s="50" t="str">
        <x:v>SYN0111</x:v>
      </x:c>
      <x:c r="B114" s="51" t="n">
        <x:v>46207</x:v>
      </x:c>
      <x:c r="C114" s="50" t="str">
        <x:v>Direct</x:v>
      </x:c>
      <x:c r="D114" s="50" t="str">
        <x:v>TEAM-04</x:v>
      </x:c>
    </x:row>
    <x:row r="115">
      <x:c r="A115" s="50" t="str">
        <x:v>SYN0112</x:v>
      </x:c>
      <x:c r="B115" s="51" t="n">
        <x:v>46047</x:v>
      </x:c>
      <x:c r="C115" s="50" t="str">
        <x:v>Employer</x:v>
      </x:c>
      <x:c r="D115" s="50" t="str">
        <x:v>TEAM-01</x:v>
      </x:c>
    </x:row>
    <x:row r="116">
      <x:c r="A116" s="50" t="str">
        <x:v>SYN0113</x:v>
      </x:c>
      <x:c r="B116" s="51" t="n">
        <x:v>46172</x:v>
      </x:c>
      <x:c r="C116" s="50" t="str">
        <x:v>Direct</x:v>
      </x:c>
      <x:c r="D116" s="50" t="str">
        <x:v>TEAM-01</x:v>
      </x:c>
    </x:row>
    <x:row r="117">
      <x:c r="A117" s="50" t="str">
        <x:v>SYN0114</x:v>
      </x:c>
      <x:c r="B117" s="51" t="n">
        <x:v>46083</x:v>
      </x:c>
      <x:c r="C117" s="50" t="str">
        <x:v>Employer</x:v>
      </x:c>
      <x:c r="D117" s="50" t="str">
        <x:v>TEAM-01</x:v>
      </x:c>
    </x:row>
    <x:row r="118">
      <x:c r="A118" s="50" t="str">
        <x:v>SYN0115</x:v>
      </x:c>
      <x:c r="B118" s="51" t="n">
        <x:v>46122</x:v>
      </x:c>
      <x:c r="C118" s="50" t="str">
        <x:v>Direct</x:v>
      </x:c>
      <x:c r="D118" s="50" t="str">
        <x:v>TEAM-01</x:v>
      </x:c>
    </x:row>
    <x:row r="119">
      <x:c r="A119" s="50" t="str">
        <x:v>SYN0116</x:v>
      </x:c>
      <x:c r="B119" s="51" t="n">
        <x:v>46216</x:v>
      </x:c>
      <x:c r="C119" s="50" t="str">
        <x:v>Direct</x:v>
      </x:c>
      <x:c r="D119" s="50" t="str">
        <x:v>TEAM-06</x:v>
      </x:c>
    </x:row>
    <x:row r="120">
      <x:c r="A120" s="50" t="str">
        <x:v>SYN0117</x:v>
      </x:c>
      <x:c r="B120" s="51" t="n">
        <x:v>46239</x:v>
      </x:c>
      <x:c r="C120" s="50" t="str">
        <x:v>Direct</x:v>
      </x:c>
      <x:c r="D120" s="50" t="str">
        <x:v>TEAM-04</x:v>
      </x:c>
    </x:row>
    <x:row r="121">
      <x:c r="A121" s="50" t="str">
        <x:v>SYN0118</x:v>
      </x:c>
      <x:c r="B121" s="51" t="n">
        <x:v>46084</x:v>
      </x:c>
      <x:c r="C121" s="50" t="str">
        <x:v>Direct</x:v>
      </x:c>
      <x:c r="D121" s="50" t="str">
        <x:v>TEAM-03</x:v>
      </x:c>
    </x:row>
    <x:row r="122">
      <x:c r="A122" s="50" t="str">
        <x:v>SYN0119</x:v>
      </x:c>
      <x:c r="B122" s="51" t="n">
        <x:v>46082</x:v>
      </x:c>
      <x:c r="C122" s="50" t="str">
        <x:v>Direct</x:v>
      </x:c>
      <x:c r="D122" s="50" t="str">
        <x:v>TEAM-01</x:v>
      </x:c>
    </x:row>
    <x:row r="123">
      <x:c r="A123" s="50" t="str">
        <x:v>SYN0120</x:v>
      </x:c>
      <x:c r="B123" s="51" t="n">
        <x:v>46109</x:v>
      </x:c>
      <x:c r="C123" s="50" t="str">
        <x:v>Direct</x:v>
      </x:c>
      <x:c r="D123" s="50" t="str">
        <x:v>TEAM-01</x:v>
      </x:c>
    </x:row>
    <x:row r="124">
      <x:c r="A124" s="50" t="str">
        <x:v>SYN0121</x:v>
      </x:c>
      <x:c r="B124" s="51" t="n">
        <x:v>46176</x:v>
      </x:c>
      <x:c r="C124" s="50" t="str">
        <x:v>Employer</x:v>
      </x:c>
      <x:c r="D124" s="50" t="str">
        <x:v>TEAM-04</x:v>
      </x:c>
    </x:row>
    <x:row r="125">
      <x:c r="A125" s="50" t="str">
        <x:v>SYN0122</x:v>
      </x:c>
      <x:c r="B125" s="51" t="n">
        <x:v>46259</x:v>
      </x:c>
      <x:c r="C125" s="50" t="str">
        <x:v>Direct</x:v>
      </x:c>
      <x:c r="D125" s="50" t="str">
        <x:v>TEAM-03</x:v>
      </x:c>
    </x:row>
    <x:row r="126">
      <x:c r="A126" s="50" t="str">
        <x:v>SYN0123</x:v>
      </x:c>
      <x:c r="B126" s="51" t="n">
        <x:v>46198</x:v>
      </x:c>
      <x:c r="C126" s="50" t="str">
        <x:v>Direct</x:v>
      </x:c>
      <x:c r="D126" s="50" t="str">
        <x:v>TEAM-06</x:v>
      </x:c>
    </x:row>
    <x:row r="127">
      <x:c r="A127" s="50" t="str">
        <x:v>SYN0124</x:v>
      </x:c>
      <x:c r="B127" s="51" t="n">
        <x:v>46248</x:v>
      </x:c>
      <x:c r="C127" s="50" t="str">
        <x:v>Direct</x:v>
      </x:c>
      <x:c r="D127" s="50" t="str">
        <x:v>TEAM-04</x:v>
      </x:c>
    </x:row>
    <x:row r="128">
      <x:c r="A128" s="50" t="str">
        <x:v>SYN0125</x:v>
      </x:c>
      <x:c r="B128" s="51" t="n">
        <x:v>46181</x:v>
      </x:c>
      <x:c r="C128" s="50" t="str">
        <x:v>Employer</x:v>
      </x:c>
      <x:c r="D128" s="50" t="str">
        <x:v>TEAM-04</x:v>
      </x:c>
    </x:row>
    <x:row r="129">
      <x:c r="A129" s="50" t="str">
        <x:v>SYN0126</x:v>
      </x:c>
      <x:c r="B129" s="51" t="n">
        <x:v>46245</x:v>
      </x:c>
      <x:c r="C129" s="50" t="str">
        <x:v>Direct</x:v>
      </x:c>
      <x:c r="D129" s="50" t="str">
        <x:v>TEAM-02</x:v>
      </x:c>
    </x:row>
    <x:row r="130">
      <x:c r="A130" s="50" t="str">
        <x:v>SYN0127</x:v>
      </x:c>
      <x:c r="B130" s="51" t="n">
        <x:v>46231</x:v>
      </x:c>
      <x:c r="C130" s="50" t="str">
        <x:v>Direct</x:v>
      </x:c>
      <x:c r="D130" s="50" t="str">
        <x:v>TEAM-01</x:v>
      </x:c>
    </x:row>
    <x:row r="131">
      <x:c r="A131" s="50" t="str">
        <x:v>SYN0128</x:v>
      </x:c>
      <x:c r="B131" s="51" t="n">
        <x:v>46111</x:v>
      </x:c>
      <x:c r="C131" s="50" t="str">
        <x:v>Direct</x:v>
      </x:c>
      <x:c r="D131" s="50" t="str">
        <x:v>TEAM-06</x:v>
      </x:c>
    </x:row>
    <x:row r="132">
      <x:c r="A132" s="50" t="str">
        <x:v>SYN0129</x:v>
      </x:c>
      <x:c r="B132" s="51" t="n">
        <x:v>46081</x:v>
      </x:c>
      <x:c r="C132" s="50" t="str">
        <x:v>Employer</x:v>
      </x:c>
      <x:c r="D132" s="50" t="str">
        <x:v>TEAM-02</x:v>
      </x:c>
    </x:row>
    <x:row r="133">
      <x:c r="A133" s="50" t="str">
        <x:v>SYN0130</x:v>
      </x:c>
      <x:c r="B133" s="51" t="n">
        <x:v>46023</x:v>
      </x:c>
      <x:c r="C133" s="50" t="str">
        <x:v>Employer</x:v>
      </x:c>
      <x:c r="D133" s="50" t="str">
        <x:v>TEAM-01</x:v>
      </x:c>
    </x:row>
    <x:row r="134">
      <x:c r="A134" s="50" t="str">
        <x:v>SYN0131</x:v>
      </x:c>
      <x:c r="B134" s="51" t="n">
        <x:v>46080</x:v>
      </x:c>
      <x:c r="C134" s="50" t="str">
        <x:v>Employer</x:v>
      </x:c>
      <x:c r="D134" s="50" t="str">
        <x:v>TEAM-03</x:v>
      </x:c>
    </x:row>
    <x:row r="135">
      <x:c r="A135" s="50" t="str">
        <x:v>SYN0132</x:v>
      </x:c>
      <x:c r="B135" s="51" t="n">
        <x:v>46111</x:v>
      </x:c>
      <x:c r="C135" s="50" t="str">
        <x:v>Employer</x:v>
      </x:c>
      <x:c r="D135" s="50" t="str">
        <x:v>TEAM-04</x:v>
      </x:c>
    </x:row>
    <x:row r="136">
      <x:c r="A136" s="50" t="str">
        <x:v>SYN0133</x:v>
      </x:c>
      <x:c r="B136" s="51" t="n">
        <x:v>46048</x:v>
      </x:c>
      <x:c r="C136" s="50" t="str">
        <x:v>Employer</x:v>
      </x:c>
      <x:c r="D136" s="50" t="str">
        <x:v>TEAM-01</x:v>
      </x:c>
    </x:row>
    <x:row r="137">
      <x:c r="A137" s="50" t="str">
        <x:v>SYN0134</x:v>
      </x:c>
      <x:c r="B137" s="51" t="n">
        <x:v>46163</x:v>
      </x:c>
      <x:c r="C137" s="50" t="str">
        <x:v>Direct</x:v>
      </x:c>
      <x:c r="D137" s="50" t="str">
        <x:v>TEAM-06</x:v>
      </x:c>
    </x:row>
    <x:row r="138">
      <x:c r="A138" s="50" t="str">
        <x:v>SYN0135</x:v>
      </x:c>
      <x:c r="B138" s="51" t="n">
        <x:v>46133</x:v>
      </x:c>
      <x:c r="C138" s="50" t="str">
        <x:v>Direct</x:v>
      </x:c>
      <x:c r="D138" s="50" t="str">
        <x:v>TEAM-02</x:v>
      </x:c>
    </x:row>
    <x:row r="139">
      <x:c r="A139" s="50" t="str">
        <x:v>SYN0136</x:v>
      </x:c>
      <x:c r="B139" s="51" t="n">
        <x:v>46183</x:v>
      </x:c>
      <x:c r="C139" s="50" t="str">
        <x:v>Direct</x:v>
      </x:c>
      <x:c r="D139" s="50" t="str">
        <x:v>TEAM-01</x:v>
      </x:c>
    </x:row>
    <x:row r="140">
      <x:c r="A140" s="50" t="str">
        <x:v>SYN0137</x:v>
      </x:c>
      <x:c r="B140" s="51" t="n">
        <x:v>46108</x:v>
      </x:c>
      <x:c r="C140" s="50" t="str">
        <x:v>Direct</x:v>
      </x:c>
      <x:c r="D140" s="50" t="str">
        <x:v>TEAM-05</x:v>
      </x:c>
    </x:row>
    <x:row r="141">
      <x:c r="A141" s="50" t="str">
        <x:v>SYN0138</x:v>
      </x:c>
      <x:c r="B141" s="51" t="n">
        <x:v>46031</x:v>
      </x:c>
      <x:c r="C141" s="50" t="str">
        <x:v>Direct</x:v>
      </x:c>
      <x:c r="D141" s="50" t="str">
        <x:v>TEAM-03</x:v>
      </x:c>
    </x:row>
    <x:row r="142">
      <x:c r="A142" s="50" t="str">
        <x:v>SYN0139</x:v>
      </x:c>
      <x:c r="B142" s="51" t="n">
        <x:v>46147</x:v>
      </x:c>
      <x:c r="C142" s="50" t="str">
        <x:v>Direct</x:v>
      </x:c>
      <x:c r="D142" s="50" t="str">
        <x:v>TEAM-06</x:v>
      </x:c>
    </x:row>
    <x:row r="143">
      <x:c r="A143" s="50" t="str">
        <x:v>SYN0140</x:v>
      </x:c>
      <x:c r="B143" s="51" t="n">
        <x:v>46120</x:v>
      </x:c>
      <x:c r="C143" s="50" t="str">
        <x:v>Direct</x:v>
      </x:c>
      <x:c r="D143" s="50" t="str">
        <x:v>TEAM-02</x:v>
      </x:c>
    </x:row>
    <x:row r="144">
      <x:c r="A144" s="50" t="str">
        <x:v>SYN0141</x:v>
      </x:c>
      <x:c r="B144" s="51" t="n">
        <x:v>46193</x:v>
      </x:c>
      <x:c r="C144" s="50" t="str">
        <x:v>Direct</x:v>
      </x:c>
      <x:c r="D144" s="50" t="str">
        <x:v>TEAM-03</x:v>
      </x:c>
    </x:row>
    <x:row r="145">
      <x:c r="A145" s="50" t="str">
        <x:v>SYN0142</x:v>
      </x:c>
      <x:c r="B145" s="51" t="n">
        <x:v>46106</x:v>
      </x:c>
      <x:c r="C145" s="50" t="str">
        <x:v>Employer</x:v>
      </x:c>
      <x:c r="D145" s="50" t="str">
        <x:v>TEAM-05</x:v>
      </x:c>
    </x:row>
    <x:row r="146">
      <x:c r="A146" s="50" t="str">
        <x:v>SYN0143</x:v>
      </x:c>
      <x:c r="B146" s="51" t="n">
        <x:v>46255</x:v>
      </x:c>
      <x:c r="C146" s="50" t="str">
        <x:v>Direct</x:v>
      </x:c>
      <x:c r="D146" s="50" t="str">
        <x:v>TEAM-06</x:v>
      </x:c>
    </x:row>
    <x:row r="147">
      <x:c r="A147" s="50" t="str">
        <x:v>SYN0144</x:v>
      </x:c>
      <x:c r="B147" s="51" t="n">
        <x:v>46107</x:v>
      </x:c>
      <x:c r="C147" s="50" t="str">
        <x:v>Direct</x:v>
      </x:c>
      <x:c r="D147" s="50" t="str">
        <x:v>TEAM-04</x:v>
      </x:c>
    </x:row>
    <x:row r="148">
      <x:c r="A148" s="50" t="str">
        <x:v>SYN0145</x:v>
      </x:c>
      <x:c r="B148" s="51" t="n">
        <x:v>46258</x:v>
      </x:c>
      <x:c r="C148" s="50" t="str">
        <x:v>Direct</x:v>
      </x:c>
      <x:c r="D148" s="50" t="str">
        <x:v>TEAM-02</x:v>
      </x:c>
    </x:row>
    <x:row r="149">
      <x:c r="A149" s="50" t="str">
        <x:v>SYN0146</x:v>
      </x:c>
      <x:c r="B149" s="51" t="n">
        <x:v>46165</x:v>
      </x:c>
      <x:c r="C149" s="50" t="str">
        <x:v>Direct</x:v>
      </x:c>
      <x:c r="D149" s="50" t="str">
        <x:v>TEAM-03</x:v>
      </x:c>
    </x:row>
    <x:row r="150">
      <x:c r="A150" s="50" t="str">
        <x:v>SYN0147</x:v>
      </x:c>
      <x:c r="B150" s="51" t="n">
        <x:v>46048</x:v>
      </x:c>
      <x:c r="C150" s="50" t="str">
        <x:v>Direct</x:v>
      </x:c>
      <x:c r="D150" s="50" t="str">
        <x:v>TEAM-05</x:v>
      </x:c>
    </x:row>
    <x:row r="151">
      <x:c r="A151" s="50" t="str">
        <x:v>SYN0148</x:v>
      </x:c>
      <x:c r="B151" s="51" t="n">
        <x:v>46199</x:v>
      </x:c>
      <x:c r="C151" s="50" t="str">
        <x:v>Direct</x:v>
      </x:c>
      <x:c r="D151" s="50" t="str">
        <x:v>TEAM-05</x:v>
      </x:c>
    </x:row>
    <x:row r="152">
      <x:c r="A152" s="50" t="str">
        <x:v>SYN0149</x:v>
      </x:c>
      <x:c r="B152" s="51" t="n">
        <x:v>46065</x:v>
      </x:c>
      <x:c r="C152" s="50" t="str">
        <x:v>Direct</x:v>
      </x:c>
      <x:c r="D152" s="50" t="str">
        <x:v>TEAM-05</x:v>
      </x:c>
    </x:row>
    <x:row r="153">
      <x:c r="A153" s="50" t="str">
        <x:v>SYN0150</x:v>
      </x:c>
      <x:c r="B153" s="51" t="n">
        <x:v>46073</x:v>
      </x:c>
      <x:c r="C153" s="50" t="str">
        <x:v>Direct</x:v>
      </x:c>
      <x:c r="D153" s="50" t="str">
        <x:v>TEAM-05</x:v>
      </x:c>
    </x:row>
    <x:row r="154">
      <x:c r="A154" s="50" t="str">
        <x:v>SYN0151</x:v>
      </x:c>
      <x:c r="B154" s="51" t="n">
        <x:v>46143</x:v>
      </x:c>
      <x:c r="C154" s="50" t="str">
        <x:v>Employer</x:v>
      </x:c>
      <x:c r="D154" s="50" t="str">
        <x:v>TEAM-06</x:v>
      </x:c>
    </x:row>
    <x:row r="155">
      <x:c r="A155" s="50" t="str">
        <x:v>SYN0152</x:v>
      </x:c>
      <x:c r="B155" s="51" t="n">
        <x:v>46135</x:v>
      </x:c>
      <x:c r="C155" s="50" t="str">
        <x:v>Employer</x:v>
      </x:c>
      <x:c r="D155" s="50" t="str">
        <x:v>TEAM-03</x:v>
      </x:c>
    </x:row>
    <x:row r="156">
      <x:c r="A156" s="50" t="str">
        <x:v>SYN0153</x:v>
      </x:c>
      <x:c r="B156" s="51" t="n">
        <x:v>46225</x:v>
      </x:c>
      <x:c r="C156" s="50" t="str">
        <x:v>Direct</x:v>
      </x:c>
      <x:c r="D156" s="50" t="str">
        <x:v>TEAM-05</x:v>
      </x:c>
    </x:row>
    <x:row r="157">
      <x:c r="A157" s="50" t="str">
        <x:v>SYN0154</x:v>
      </x:c>
      <x:c r="B157" s="51" t="n">
        <x:v>46185</x:v>
      </x:c>
      <x:c r="C157" s="50" t="str">
        <x:v>Direct</x:v>
      </x:c>
      <x:c r="D157" s="50" t="str">
        <x:v>TEAM-03</x:v>
      </x:c>
    </x:row>
    <x:row r="158">
      <x:c r="A158" s="50" t="str">
        <x:v>SYN0155</x:v>
      </x:c>
      <x:c r="B158" s="51" t="n">
        <x:v>46239</x:v>
      </x:c>
      <x:c r="C158" s="50" t="str">
        <x:v>Direct</x:v>
      </x:c>
      <x:c r="D158" s="50" t="str">
        <x:v>TEAM-06</x:v>
      </x:c>
    </x:row>
    <x:row r="159">
      <x:c r="A159" s="50" t="str">
        <x:v>SYN0156</x:v>
      </x:c>
      <x:c r="B159" s="51" t="n">
        <x:v>46151</x:v>
      </x:c>
      <x:c r="C159" s="50" t="str">
        <x:v>Employer</x:v>
      </x:c>
      <x:c r="D159" s="50" t="str">
        <x:v>TEAM-02</x:v>
      </x:c>
    </x:row>
    <x:row r="160">
      <x:c r="A160" s="50" t="str">
        <x:v>SYN0157</x:v>
      </x:c>
      <x:c r="B160" s="51" t="n">
        <x:v>46176</x:v>
      </x:c>
      <x:c r="C160" s="50" t="str">
        <x:v>Direct</x:v>
      </x:c>
      <x:c r="D160" s="50" t="str">
        <x:v>TEAM-01</x:v>
      </x:c>
    </x:row>
    <x:row r="161">
      <x:c r="A161" s="50" t="str">
        <x:v>SYN0158</x:v>
      </x:c>
      <x:c r="B161" s="51" t="n">
        <x:v>46196</x:v>
      </x:c>
      <x:c r="C161" s="50" t="str">
        <x:v>Employer</x:v>
      </x:c>
      <x:c r="D161" s="50" t="str">
        <x:v>TEAM-01</x:v>
      </x:c>
    </x:row>
    <x:row r="162">
      <x:c r="A162" s="50" t="str">
        <x:v>SYN0159</x:v>
      </x:c>
      <x:c r="B162" s="51" t="n">
        <x:v>46095</x:v>
      </x:c>
      <x:c r="C162" s="50" t="str">
        <x:v>Employer</x:v>
      </x:c>
      <x:c r="D162" s="50" t="str">
        <x:v>TEAM-01</x:v>
      </x:c>
    </x:row>
    <x:row r="163">
      <x:c r="A163" s="50" t="str">
        <x:v>SYN0160</x:v>
      </x:c>
      <x:c r="B163" s="51" t="n">
        <x:v>46182</x:v>
      </x:c>
      <x:c r="C163" s="50" t="str">
        <x:v>Direct</x:v>
      </x:c>
      <x:c r="D163" s="50" t="str">
        <x:v>TEAM-04</x:v>
      </x:c>
    </x:row>
    <x:row r="164">
      <x:c r="A164" s="50" t="str">
        <x:v>SYN0161</x:v>
      </x:c>
      <x:c r="B164" s="51" t="n">
        <x:v>46221</x:v>
      </x:c>
      <x:c r="C164" s="50" t="str">
        <x:v>Employer</x:v>
      </x:c>
      <x:c r="D164" s="50" t="str">
        <x:v>TEAM-02</x:v>
      </x:c>
    </x:row>
    <x:row r="165">
      <x:c r="A165" s="50" t="str">
        <x:v>SYN0162</x:v>
      </x:c>
      <x:c r="B165" s="51" t="n">
        <x:v>46156</x:v>
      </x:c>
      <x:c r="C165" s="50" t="str">
        <x:v>Direct</x:v>
      </x:c>
      <x:c r="D165" s="50" t="str">
        <x:v>TEAM-02</x:v>
      </x:c>
    </x:row>
    <x:row r="166">
      <x:c r="A166" s="50" t="str">
        <x:v>SYN0163</x:v>
      </x:c>
      <x:c r="B166" s="51" t="n">
        <x:v>46057</x:v>
      </x:c>
      <x:c r="C166" s="50" t="str">
        <x:v>Direct</x:v>
      </x:c>
      <x:c r="D166" s="50" t="str">
        <x:v>TEAM-03</x:v>
      </x:c>
    </x:row>
    <x:row r="167">
      <x:c r="A167" s="50" t="str">
        <x:v>SYN0164</x:v>
      </x:c>
      <x:c r="B167" s="51" t="n">
        <x:v>46065</x:v>
      </x:c>
      <x:c r="C167" s="50" t="str">
        <x:v>Direct</x:v>
      </x:c>
      <x:c r="D167" s="50" t="str">
        <x:v>TEAM-04</x:v>
      </x:c>
    </x:row>
    <x:row r="168">
      <x:c r="A168" s="50" t="str">
        <x:v>SYN0165</x:v>
      </x:c>
      <x:c r="B168" s="51" t="n">
        <x:v>46243</x:v>
      </x:c>
      <x:c r="C168" s="50" t="str">
        <x:v>Direct</x:v>
      </x:c>
      <x:c r="D168" s="50" t="str">
        <x:v>TEAM-05</x:v>
      </x:c>
    </x:row>
    <x:row r="169">
      <x:c r="A169" s="50" t="str">
        <x:v>SYN0166</x:v>
      </x:c>
      <x:c r="B169" s="51" t="n">
        <x:v>46069</x:v>
      </x:c>
      <x:c r="C169" s="50" t="str">
        <x:v>Direct</x:v>
      </x:c>
      <x:c r="D169" s="50" t="str">
        <x:v>TEAM-06</x:v>
      </x:c>
    </x:row>
    <x:row r="170">
      <x:c r="A170" s="50" t="str">
        <x:v>SYN0167</x:v>
      </x:c>
      <x:c r="B170" s="51" t="n">
        <x:v>46193</x:v>
      </x:c>
      <x:c r="C170" s="50" t="str">
        <x:v>Direct</x:v>
      </x:c>
      <x:c r="D170" s="50" t="str">
        <x:v>TEAM-03</x:v>
      </x:c>
    </x:row>
    <x:row r="171">
      <x:c r="A171" s="50" t="str">
        <x:v>SYN0168</x:v>
      </x:c>
      <x:c r="B171" s="51" t="n">
        <x:v>46129</x:v>
      </x:c>
      <x:c r="C171" s="50" t="str">
        <x:v>Direct</x:v>
      </x:c>
      <x:c r="D171" s="50" t="str">
        <x:v>TEAM-03</x:v>
      </x:c>
    </x:row>
    <x:row r="172">
      <x:c r="A172" s="50" t="str">
        <x:v>SYN0169</x:v>
      </x:c>
      <x:c r="B172" s="51" t="n">
        <x:v>46221</x:v>
      </x:c>
      <x:c r="C172" s="50" t="str">
        <x:v>Direct</x:v>
      </x:c>
      <x:c r="D172" s="50" t="str">
        <x:v>TEAM-03</x:v>
      </x:c>
    </x:row>
    <x:row r="173">
      <x:c r="A173" s="50" t="str">
        <x:v>SYN0170</x:v>
      </x:c>
      <x:c r="B173" s="51" t="n">
        <x:v>46250</x:v>
      </x:c>
      <x:c r="C173" s="50" t="str">
        <x:v>Employer</x:v>
      </x:c>
      <x:c r="D173" s="50" t="str">
        <x:v>TEAM-06</x:v>
      </x:c>
    </x:row>
    <x:row r="174">
      <x:c r="A174" s="50" t="str">
        <x:v>SYN0171</x:v>
      </x:c>
      <x:c r="B174" s="51" t="n">
        <x:v>46107</x:v>
      </x:c>
      <x:c r="C174" s="50" t="str">
        <x:v>Employer</x:v>
      </x:c>
      <x:c r="D174" s="50" t="str">
        <x:v>TEAM-01</x:v>
      </x:c>
    </x:row>
    <x:row r="175">
      <x:c r="A175" s="50" t="str">
        <x:v>SYN0172</x:v>
      </x:c>
      <x:c r="B175" s="51" t="n">
        <x:v>46088</x:v>
      </x:c>
      <x:c r="C175" s="50" t="str">
        <x:v>Direct</x:v>
      </x:c>
      <x:c r="D175" s="50" t="str">
        <x:v>TEAM-01</x:v>
      </x:c>
    </x:row>
    <x:row r="176">
      <x:c r="A176" s="50" t="str">
        <x:v>SYN0173</x:v>
      </x:c>
      <x:c r="B176" s="51" t="n">
        <x:v>46262</x:v>
      </x:c>
      <x:c r="C176" s="50" t="str">
        <x:v>Direct</x:v>
      </x:c>
      <x:c r="D176" s="50" t="str">
        <x:v>TEAM-04</x:v>
      </x:c>
    </x:row>
    <x:row r="177">
      <x:c r="A177" s="50" t="str">
        <x:v>SYN0174</x:v>
      </x:c>
      <x:c r="B177" s="51" t="n">
        <x:v>46136</x:v>
      </x:c>
      <x:c r="C177" s="50" t="str">
        <x:v>Direct</x:v>
      </x:c>
      <x:c r="D177" s="50" t="str">
        <x:v>TEAM-03</x:v>
      </x:c>
    </x:row>
    <x:row r="178">
      <x:c r="A178" s="50" t="str">
        <x:v>SYN0175</x:v>
      </x:c>
      <x:c r="B178" s="51" t="n">
        <x:v>46108</x:v>
      </x:c>
      <x:c r="C178" s="50" t="str">
        <x:v>Direct</x:v>
      </x:c>
      <x:c r="D178" s="50" t="str">
        <x:v>TEAM-04</x:v>
      </x:c>
    </x:row>
    <x:row r="179">
      <x:c r="A179" s="50" t="str">
        <x:v>SYN0176</x:v>
      </x:c>
      <x:c r="B179" s="51" t="n">
        <x:v>46118</x:v>
      </x:c>
      <x:c r="C179" s="50" t="str">
        <x:v>Employer</x:v>
      </x:c>
      <x:c r="D179" s="50" t="str">
        <x:v>TEAM-06</x:v>
      </x:c>
    </x:row>
    <x:row r="180">
      <x:c r="A180" s="50" t="str">
        <x:v>SYN0177</x:v>
      </x:c>
      <x:c r="B180" s="51" t="n">
        <x:v>46083</x:v>
      </x:c>
      <x:c r="C180" s="50" t="str">
        <x:v>Direct</x:v>
      </x:c>
      <x:c r="D180" s="50" t="str">
        <x:v>TEAM-02</x:v>
      </x:c>
    </x:row>
    <x:row r="181">
      <x:c r="A181" s="50" t="str">
        <x:v>SYN0178</x:v>
      </x:c>
      <x:c r="B181" s="51" t="n">
        <x:v>46170</x:v>
      </x:c>
      <x:c r="C181" s="50" t="str">
        <x:v>Employer</x:v>
      </x:c>
      <x:c r="D181" s="50" t="str">
        <x:v>TEAM-04</x:v>
      </x:c>
    </x:row>
    <x:row r="182">
      <x:c r="A182" s="50" t="str">
        <x:v>SYN0179</x:v>
      </x:c>
      <x:c r="B182" s="51" t="n">
        <x:v>46025</x:v>
      </x:c>
      <x:c r="C182" s="50" t="str">
        <x:v>Employer</x:v>
      </x:c>
      <x:c r="D182" s="50" t="str">
        <x:v>TEAM-02</x:v>
      </x:c>
    </x:row>
    <x:row r="183">
      <x:c r="A183" s="50" t="str">
        <x:v>SYN0180</x:v>
      </x:c>
      <x:c r="B183" s="51" t="n">
        <x:v>46261</x:v>
      </x:c>
      <x:c r="C183" s="50" t="str">
        <x:v>Employer</x:v>
      </x:c>
      <x:c r="D183" s="50" t="str">
        <x:v>TEAM-01</x:v>
      </x:c>
    </x:row>
    <x:row r="184">
      <x:c r="A184" s="50" t="str">
        <x:v>SYN0181</x:v>
      </x:c>
      <x:c r="B184" s="51" t="n">
        <x:v>46221</x:v>
      </x:c>
      <x:c r="C184" s="50" t="str">
        <x:v>Direct</x:v>
      </x:c>
      <x:c r="D184" s="50" t="str">
        <x:v>TEAM-01</x:v>
      </x:c>
    </x:row>
    <x:row r="185">
      <x:c r="A185" s="50" t="str">
        <x:v>SYN0182</x:v>
      </x:c>
      <x:c r="B185" s="51" t="n">
        <x:v>46256</x:v>
      </x:c>
      <x:c r="C185" s="50" t="str">
        <x:v>Direct</x:v>
      </x:c>
      <x:c r="D185" s="50" t="str">
        <x:v>TEAM-05</x:v>
      </x:c>
    </x:row>
    <x:row r="186">
      <x:c r="A186" s="50" t="str">
        <x:v>SYN0183</x:v>
      </x:c>
      <x:c r="B186" s="51" t="n">
        <x:v>46233</x:v>
      </x:c>
      <x:c r="C186" s="50" t="str">
        <x:v>Direct</x:v>
      </x:c>
      <x:c r="D186" s="50" t="str">
        <x:v>TEAM-04</x:v>
      </x:c>
    </x:row>
    <x:row r="187">
      <x:c r="A187" s="50" t="str">
        <x:v>SYN0184</x:v>
      </x:c>
      <x:c r="B187" s="51" t="n">
        <x:v>46260</x:v>
      </x:c>
      <x:c r="C187" s="50" t="str">
        <x:v>Direct</x:v>
      </x:c>
      <x:c r="D187" s="50" t="str">
        <x:v>TEAM-05</x:v>
      </x:c>
    </x:row>
    <x:row r="188">
      <x:c r="A188" s="50" t="str">
        <x:v>SYN0185</x:v>
      </x:c>
      <x:c r="B188" s="51" t="n">
        <x:v>46067</x:v>
      </x:c>
      <x:c r="C188" s="50" t="str">
        <x:v>Direct</x:v>
      </x:c>
      <x:c r="D188" s="50" t="str">
        <x:v>TEAM-06</x:v>
      </x:c>
    </x:row>
    <x:row r="189">
      <x:c r="A189" s="50" t="str">
        <x:v>SYN0186</x:v>
      </x:c>
      <x:c r="B189" s="51" t="n">
        <x:v>46107</x:v>
      </x:c>
      <x:c r="C189" s="50" t="str">
        <x:v>Direct</x:v>
      </x:c>
      <x:c r="D189" s="50" t="str">
        <x:v>TEAM-05</x:v>
      </x:c>
    </x:row>
    <x:row r="190">
      <x:c r="A190" s="50" t="str">
        <x:v>SYN0187</x:v>
      </x:c>
      <x:c r="B190" s="51" t="n">
        <x:v>46136</x:v>
      </x:c>
      <x:c r="C190" s="50" t="str">
        <x:v>Employer</x:v>
      </x:c>
      <x:c r="D190" s="50" t="str">
        <x:v>TEAM-06</x:v>
      </x:c>
    </x:row>
    <x:row r="191">
      <x:c r="A191" s="50" t="str">
        <x:v>SYN0188</x:v>
      </x:c>
      <x:c r="B191" s="51" t="n">
        <x:v>46232</x:v>
      </x:c>
      <x:c r="C191" s="50" t="str">
        <x:v>Direct</x:v>
      </x:c>
      <x:c r="D191" s="50" t="str">
        <x:v>TEAM-01</x:v>
      </x:c>
    </x:row>
    <x:row r="192">
      <x:c r="A192" s="50" t="str">
        <x:v>SYN0189</x:v>
      </x:c>
      <x:c r="B192" s="51" t="n">
        <x:v>46058</x:v>
      </x:c>
      <x:c r="C192" s="50" t="str">
        <x:v>Employer</x:v>
      </x:c>
      <x:c r="D192" s="50" t="str">
        <x:v>TEAM-05</x:v>
      </x:c>
    </x:row>
    <x:row r="193">
      <x:c r="A193" s="50" t="str">
        <x:v>SYN0190</x:v>
      </x:c>
      <x:c r="B193" s="51" t="n">
        <x:v>46202</x:v>
      </x:c>
      <x:c r="C193" s="50" t="str">
        <x:v>Direct</x:v>
      </x:c>
      <x:c r="D193" s="50" t="str">
        <x:v>TEAM-06</x:v>
      </x:c>
    </x:row>
    <x:row r="194">
      <x:c r="A194" s="50" t="str">
        <x:v>SYN0191</x:v>
      </x:c>
      <x:c r="B194" s="51" t="n">
        <x:v>46030</x:v>
      </x:c>
      <x:c r="C194" s="50" t="str">
        <x:v>Direct</x:v>
      </x:c>
      <x:c r="D194" s="50" t="str">
        <x:v>TEAM-06</x:v>
      </x:c>
    </x:row>
    <x:row r="195">
      <x:c r="A195" s="50" t="str">
        <x:v>SYN0192</x:v>
      </x:c>
      <x:c r="B195" s="51" t="n">
        <x:v>46234</x:v>
      </x:c>
      <x:c r="C195" s="50" t="str">
        <x:v>Employer</x:v>
      </x:c>
      <x:c r="D195" s="50" t="str">
        <x:v>TEAM-06</x:v>
      </x:c>
    </x:row>
    <x:row r="196">
      <x:c r="A196" s="50" t="str">
        <x:v>SYN0193</x:v>
      </x:c>
      <x:c r="B196" s="51" t="n">
        <x:v>46095</x:v>
      </x:c>
      <x:c r="C196" s="50" t="str">
        <x:v>Employer</x:v>
      </x:c>
      <x:c r="D196" s="50" t="str">
        <x:v>TEAM-04</x:v>
      </x:c>
    </x:row>
    <x:row r="197">
      <x:c r="A197" s="50" t="str">
        <x:v>SYN0194</x:v>
      </x:c>
      <x:c r="B197" s="51" t="n">
        <x:v>46082</x:v>
      </x:c>
      <x:c r="C197" s="50" t="str">
        <x:v>Direct</x:v>
      </x:c>
      <x:c r="D197" s="50" t="str">
        <x:v>TEAM-02</x:v>
      </x:c>
    </x:row>
    <x:row r="198">
      <x:c r="A198" s="50" t="str">
        <x:v>SYN0195</x:v>
      </x:c>
      <x:c r="B198" s="51" t="n">
        <x:v>46071</x:v>
      </x:c>
      <x:c r="C198" s="50" t="str">
        <x:v>Direct</x:v>
      </x:c>
      <x:c r="D198" s="50" t="str">
        <x:v>TEAM-06</x:v>
      </x:c>
    </x:row>
    <x:row r="199">
      <x:c r="A199" s="50" t="str">
        <x:v>SYN0196</x:v>
      </x:c>
      <x:c r="B199" s="51" t="n">
        <x:v>46107</x:v>
      </x:c>
      <x:c r="C199" s="50" t="str">
        <x:v>Employer</x:v>
      </x:c>
      <x:c r="D199" s="50" t="str">
        <x:v>TEAM-01</x:v>
      </x:c>
    </x:row>
    <x:row r="200">
      <x:c r="A200" s="50" t="str">
        <x:v>SYN0197</x:v>
      </x:c>
      <x:c r="B200" s="51" t="n">
        <x:v>46152</x:v>
      </x:c>
      <x:c r="C200" s="50" t="str">
        <x:v>Direct</x:v>
      </x:c>
      <x:c r="D200" s="50" t="str">
        <x:v>TEAM-06</x:v>
      </x:c>
    </x:row>
    <x:row r="201">
      <x:c r="A201" s="50" t="str">
        <x:v>SYN0198</x:v>
      </x:c>
      <x:c r="B201" s="51" t="n">
        <x:v>46075</x:v>
      </x:c>
      <x:c r="C201" s="50" t="str">
        <x:v>Employer</x:v>
      </x:c>
      <x:c r="D201" s="50" t="str">
        <x:v>TEAM-03</x:v>
      </x:c>
    </x:row>
    <x:row r="202">
      <x:c r="A202" s="50" t="str">
        <x:v>SYN0199</x:v>
      </x:c>
      <x:c r="B202" s="51" t="n">
        <x:v>46159</x:v>
      </x:c>
      <x:c r="C202" s="50" t="str">
        <x:v>Employer</x:v>
      </x:c>
      <x:c r="D202" s="50" t="str">
        <x:v>TEAM-02</x:v>
      </x:c>
    </x:row>
    <x:row r="203">
      <x:c r="A203" s="50" t="str">
        <x:v>SYN0200</x:v>
      </x:c>
      <x:c r="B203" s="51" t="n">
        <x:v>46065</x:v>
      </x:c>
      <x:c r="C203" s="50" t="str">
        <x:v>Direct</x:v>
      </x:c>
      <x:c r="D203" s="50" t="str">
        <x:v>TEAM-04</x:v>
      </x:c>
    </x:row>
    <x:row r="204">
      <x:c r="A204" s="50" t="str">
        <x:v>SYN0201</x:v>
      </x:c>
      <x:c r="B204" s="51" t="n">
        <x:v>46062</x:v>
      </x:c>
      <x:c r="C204" s="50" t="str">
        <x:v>Employer</x:v>
      </x:c>
      <x:c r="D204" s="50" t="str">
        <x:v>TEAM-06</x:v>
      </x:c>
    </x:row>
    <x:row r="205">
      <x:c r="A205" s="50" t="str">
        <x:v>SYN0202</x:v>
      </x:c>
      <x:c r="B205" s="51" t="n">
        <x:v>46142</x:v>
      </x:c>
      <x:c r="C205" s="50" t="str">
        <x:v>Direct</x:v>
      </x:c>
      <x:c r="D205" s="50" t="str">
        <x:v>TEAM-06</x:v>
      </x:c>
    </x:row>
    <x:row r="206">
      <x:c r="A206" s="50" t="str">
        <x:v>SYN0203</x:v>
      </x:c>
      <x:c r="B206" s="51" t="n">
        <x:v>46062</x:v>
      </x:c>
      <x:c r="C206" s="50" t="str">
        <x:v>Direct</x:v>
      </x:c>
      <x:c r="D206" s="50" t="str">
        <x:v>TEAM-05</x:v>
      </x:c>
    </x:row>
    <x:row r="207">
      <x:c r="A207" s="50" t="str">
        <x:v>SYN0204</x:v>
      </x:c>
      <x:c r="B207" s="51" t="n">
        <x:v>46232</x:v>
      </x:c>
      <x:c r="C207" s="50" t="str">
        <x:v>Direct</x:v>
      </x:c>
      <x:c r="D207" s="50" t="str">
        <x:v>TEAM-01</x:v>
      </x:c>
    </x:row>
    <x:row r="208">
      <x:c r="A208" s="50" t="str">
        <x:v>SYN0205</x:v>
      </x:c>
      <x:c r="B208" s="51" t="n">
        <x:v>46027</x:v>
      </x:c>
      <x:c r="C208" s="50" t="str">
        <x:v>Direct</x:v>
      </x:c>
      <x:c r="D208" s="50" t="str">
        <x:v>TEAM-01</x:v>
      </x:c>
    </x:row>
    <x:row r="209">
      <x:c r="A209" s="50" t="str">
        <x:v>SYN0206</x:v>
      </x:c>
      <x:c r="B209" s="51" t="n">
        <x:v>46158</x:v>
      </x:c>
      <x:c r="C209" s="50" t="str">
        <x:v>Direct</x:v>
      </x:c>
      <x:c r="D209" s="50" t="str">
        <x:v>TEAM-05</x:v>
      </x:c>
    </x:row>
    <x:row r="210">
      <x:c r="A210" s="50" t="str">
        <x:v>SYN0207</x:v>
      </x:c>
      <x:c r="B210" s="51" t="n">
        <x:v>46145</x:v>
      </x:c>
      <x:c r="C210" s="50" t="str">
        <x:v>Direct</x:v>
      </x:c>
      <x:c r="D210" s="50" t="str">
        <x:v>TEAM-06</x:v>
      </x:c>
    </x:row>
    <x:row r="211">
      <x:c r="A211" s="50" t="str">
        <x:v>SYN0208</x:v>
      </x:c>
      <x:c r="B211" s="51" t="n">
        <x:v>46157</x:v>
      </x:c>
      <x:c r="C211" s="50" t="str">
        <x:v>Direct</x:v>
      </x:c>
      <x:c r="D211" s="50" t="str">
        <x:v>TEAM-05</x:v>
      </x:c>
    </x:row>
    <x:row r="212">
      <x:c r="A212" s="50" t="str">
        <x:v>SYN0209</x:v>
      </x:c>
      <x:c r="B212" s="51" t="n">
        <x:v>46193</x:v>
      </x:c>
      <x:c r="C212" s="50" t="str">
        <x:v>Direct</x:v>
      </x:c>
      <x:c r="D212" s="50" t="str">
        <x:v>TEAM-06</x:v>
      </x:c>
    </x:row>
    <x:row r="213">
      <x:c r="A213" s="50" t="str">
        <x:v>SYN0210</x:v>
      </x:c>
      <x:c r="B213" s="51" t="n">
        <x:v>46033</x:v>
      </x:c>
      <x:c r="C213" s="50" t="str">
        <x:v>Direct</x:v>
      </x:c>
      <x:c r="D213" s="50" t="str">
        <x:v>TEAM-06</x:v>
      </x:c>
    </x:row>
    <x:row r="214">
      <x:c r="A214" s="50" t="str">
        <x:v>SYN0211</x:v>
      </x:c>
      <x:c r="B214" s="51" t="n">
        <x:v>46064</x:v>
      </x:c>
      <x:c r="C214" s="50" t="str">
        <x:v>Direct</x:v>
      </x:c>
      <x:c r="D214" s="50" t="str">
        <x:v>TEAM-02</x:v>
      </x:c>
    </x:row>
    <x:row r="215">
      <x:c r="A215" s="50" t="str">
        <x:v>SYN0212</x:v>
      </x:c>
      <x:c r="B215" s="51" t="n">
        <x:v>46243</x:v>
      </x:c>
      <x:c r="C215" s="50" t="str">
        <x:v>Employer</x:v>
      </x:c>
      <x:c r="D215" s="50" t="str">
        <x:v>TEAM-04</x:v>
      </x:c>
    </x:row>
    <x:row r="216">
      <x:c r="A216" s="50" t="str">
        <x:v>SYN0213</x:v>
      </x:c>
      <x:c r="B216" s="51" t="n">
        <x:v>46057</x:v>
      </x:c>
      <x:c r="C216" s="50" t="str">
        <x:v>Direct</x:v>
      </x:c>
      <x:c r="D216" s="50" t="str">
        <x:v>TEAM-05</x:v>
      </x:c>
    </x:row>
    <x:row r="217">
      <x:c r="A217" s="50" t="str">
        <x:v>SYN0214</x:v>
      </x:c>
      <x:c r="B217" s="51" t="n">
        <x:v>46143</x:v>
      </x:c>
      <x:c r="C217" s="50" t="str">
        <x:v>Direct</x:v>
      </x:c>
      <x:c r="D217" s="50" t="str">
        <x:v>TEAM-05</x:v>
      </x:c>
    </x:row>
    <x:row r="218">
      <x:c r="A218" s="50" t="str">
        <x:v>SYN0215</x:v>
      </x:c>
      <x:c r="B218" s="51" t="n">
        <x:v>46137</x:v>
      </x:c>
      <x:c r="C218" s="50" t="str">
        <x:v>Direct</x:v>
      </x:c>
      <x:c r="D218" s="50" t="str">
        <x:v>TEAM-04</x:v>
      </x:c>
    </x:row>
    <x:row r="219">
      <x:c r="A219" s="50" t="str">
        <x:v>SYN0216</x:v>
      </x:c>
      <x:c r="B219" s="51" t="n">
        <x:v>46086</x:v>
      </x:c>
      <x:c r="C219" s="50" t="str">
        <x:v>Direct</x:v>
      </x:c>
      <x:c r="D219" s="50" t="str">
        <x:v>TEAM-04</x:v>
      </x:c>
    </x:row>
    <x:row r="220">
      <x:c r="A220" s="50" t="str">
        <x:v>SYN0217</x:v>
      </x:c>
      <x:c r="B220" s="51" t="n">
        <x:v>46231</x:v>
      </x:c>
      <x:c r="C220" s="50" t="str">
        <x:v>Direct</x:v>
      </x:c>
      <x:c r="D220" s="50" t="str">
        <x:v>TEAM-03</x:v>
      </x:c>
    </x:row>
    <x:row r="221">
      <x:c r="A221" s="50" t="str">
        <x:v>SYN0218</x:v>
      </x:c>
      <x:c r="B221" s="51" t="n">
        <x:v>46256</x:v>
      </x:c>
      <x:c r="C221" s="50" t="str">
        <x:v>Direct</x:v>
      </x:c>
      <x:c r="D221" s="50" t="str">
        <x:v>TEAM-05</x:v>
      </x:c>
    </x:row>
    <x:row r="222">
      <x:c r="A222" s="50" t="str">
        <x:v>SYN0219</x:v>
      </x:c>
      <x:c r="B222" s="51" t="n">
        <x:v>46195</x:v>
      </x:c>
      <x:c r="C222" s="50" t="str">
        <x:v>Direct</x:v>
      </x:c>
      <x:c r="D222" s="50" t="str">
        <x:v>TEAM-06</x:v>
      </x:c>
    </x:row>
    <x:row r="223">
      <x:c r="A223" s="50" t="str">
        <x:v>SYN0220</x:v>
      </x:c>
      <x:c r="B223" s="51" t="n">
        <x:v>46072</x:v>
      </x:c>
      <x:c r="C223" s="50" t="str">
        <x:v>Employer</x:v>
      </x:c>
      <x:c r="D223" s="50" t="str">
        <x:v>TEAM-06</x:v>
      </x:c>
    </x:row>
    <x:row r="224">
      <x:c r="A224" s="50" t="str">
        <x:v>SYN0221</x:v>
      </x:c>
      <x:c r="B224" s="51" t="n">
        <x:v>46100</x:v>
      </x:c>
      <x:c r="C224" s="50" t="str">
        <x:v>Direct</x:v>
      </x:c>
      <x:c r="D224" s="50" t="str">
        <x:v>TEAM-03</x:v>
      </x:c>
    </x:row>
    <x:row r="225">
      <x:c r="A225" s="50" t="str">
        <x:v>SYN0222</x:v>
      </x:c>
      <x:c r="B225" s="51" t="n">
        <x:v>46177</x:v>
      </x:c>
      <x:c r="C225" s="50" t="str">
        <x:v>Direct</x:v>
      </x:c>
      <x:c r="D225" s="50" t="str">
        <x:v>TEAM-02</x:v>
      </x:c>
    </x:row>
    <x:row r="226">
      <x:c r="A226" s="50" t="str">
        <x:v>SYN0223</x:v>
      </x:c>
      <x:c r="B226" s="51" t="n">
        <x:v>46166</x:v>
      </x:c>
      <x:c r="C226" s="50" t="str">
        <x:v>Direct</x:v>
      </x:c>
      <x:c r="D226" s="50" t="str">
        <x:v>TEAM-03</x:v>
      </x:c>
    </x:row>
    <x:row r="227">
      <x:c r="A227" s="50" t="str">
        <x:v>SYN0224</x:v>
      </x:c>
      <x:c r="B227" s="51" t="n">
        <x:v>46078</x:v>
      </x:c>
      <x:c r="C227" s="50" t="str">
        <x:v>Employer</x:v>
      </x:c>
      <x:c r="D227" s="50" t="str">
        <x:v>TEAM-01</x:v>
      </x:c>
    </x:row>
    <x:row r="228">
      <x:c r="A228" s="50" t="str">
        <x:v>SYN0225</x:v>
      </x:c>
      <x:c r="B228" s="51" t="n">
        <x:v>46198</x:v>
      </x:c>
      <x:c r="C228" s="50" t="str">
        <x:v>Direct</x:v>
      </x:c>
      <x:c r="D228" s="50" t="str">
        <x:v>TEAM-04</x:v>
      </x:c>
    </x:row>
    <x:row r="229">
      <x:c r="A229" s="50" t="str">
        <x:v>SYN0226</x:v>
      </x:c>
      <x:c r="B229" s="51" t="n">
        <x:v>46177</x:v>
      </x:c>
      <x:c r="C229" s="50" t="str">
        <x:v>Direct</x:v>
      </x:c>
      <x:c r="D229" s="50" t="str">
        <x:v>TEAM-01</x:v>
      </x:c>
    </x:row>
    <x:row r="230">
      <x:c r="A230" s="50" t="str">
        <x:v>SYN0227</x:v>
      </x:c>
      <x:c r="B230" s="51" t="n">
        <x:v>46118</x:v>
      </x:c>
      <x:c r="C230" s="50" t="str">
        <x:v>Employer</x:v>
      </x:c>
      <x:c r="D230" s="50" t="str">
        <x:v>TEAM-01</x:v>
      </x:c>
    </x:row>
    <x:row r="231">
      <x:c r="A231" s="50" t="str">
        <x:v>SYN0228</x:v>
      </x:c>
      <x:c r="B231" s="51" t="n">
        <x:v>46073</x:v>
      </x:c>
      <x:c r="C231" s="50" t="str">
        <x:v>Direct</x:v>
      </x:c>
      <x:c r="D231" s="50" t="str">
        <x:v>TEAM-05</x:v>
      </x:c>
    </x:row>
    <x:row r="232">
      <x:c r="A232" s="50" t="str">
        <x:v>SYN0229</x:v>
      </x:c>
      <x:c r="B232" s="51" t="n">
        <x:v>46148</x:v>
      </x:c>
      <x:c r="C232" s="50" t="str">
        <x:v>Direct</x:v>
      </x:c>
      <x:c r="D232" s="50" t="str">
        <x:v>TEAM-02</x:v>
      </x:c>
    </x:row>
    <x:row r="233">
      <x:c r="A233" s="50" t="str">
        <x:v>SYN0230</x:v>
      </x:c>
      <x:c r="B233" s="51" t="n">
        <x:v>46100</x:v>
      </x:c>
      <x:c r="C233" s="50" t="str">
        <x:v>Direct</x:v>
      </x:c>
      <x:c r="D233" s="50" t="str">
        <x:v>TEAM-05</x:v>
      </x:c>
    </x:row>
    <x:row r="234">
      <x:c r="A234" s="50" t="str">
        <x:v>SYN0231</x:v>
      </x:c>
      <x:c r="B234" s="51" t="n">
        <x:v>46225</x:v>
      </x:c>
      <x:c r="C234" s="50" t="str">
        <x:v>Employer</x:v>
      </x:c>
      <x:c r="D234" s="50" t="str">
        <x:v>TEAM-04</x:v>
      </x:c>
    </x:row>
    <x:row r="235">
      <x:c r="A235" s="50" t="str">
        <x:v>SYN0232</x:v>
      </x:c>
      <x:c r="B235" s="51" t="n">
        <x:v>46046</x:v>
      </x:c>
      <x:c r="C235" s="50" t="str">
        <x:v>Direct</x:v>
      </x:c>
      <x:c r="D235" s="50" t="str">
        <x:v>TEAM-04</x:v>
      </x:c>
    </x:row>
    <x:row r="236">
      <x:c r="A236" s="50" t="str">
        <x:v>SYN0233</x:v>
      </x:c>
      <x:c r="B236" s="51" t="n">
        <x:v>46161</x:v>
      </x:c>
      <x:c r="C236" s="50" t="str">
        <x:v>Direct</x:v>
      </x:c>
      <x:c r="D236" s="50" t="str">
        <x:v>TEAM-03</x:v>
      </x:c>
    </x:row>
    <x:row r="237">
      <x:c r="A237" s="50" t="str">
        <x:v>SYN0234</x:v>
      </x:c>
      <x:c r="B237" s="51" t="n">
        <x:v>46098</x:v>
      </x:c>
      <x:c r="C237" s="50" t="str">
        <x:v>Direct</x:v>
      </x:c>
      <x:c r="D237" s="50" t="str">
        <x:v>TEAM-02</x:v>
      </x:c>
    </x:row>
    <x:row r="238">
      <x:c r="A238" s="50" t="str">
        <x:v>SYN0235</x:v>
      </x:c>
      <x:c r="B238" s="51" t="n">
        <x:v>46119</x:v>
      </x:c>
      <x:c r="C238" s="50" t="str">
        <x:v>Employer</x:v>
      </x:c>
      <x:c r="D238" s="50" t="str">
        <x:v>TEAM-02</x:v>
      </x:c>
    </x:row>
    <x:row r="239">
      <x:c r="A239" s="50" t="str">
        <x:v>SYN0236</x:v>
      </x:c>
      <x:c r="B239" s="51" t="n">
        <x:v>46170</x:v>
      </x:c>
      <x:c r="C239" s="50" t="str">
        <x:v>Employer</x:v>
      </x:c>
      <x:c r="D239" s="50" t="str">
        <x:v>TEAM-03</x:v>
      </x:c>
    </x:row>
    <x:row r="240">
      <x:c r="A240" s="50" t="str">
        <x:v>SYN0237</x:v>
      </x:c>
      <x:c r="B240" s="51" t="n">
        <x:v>46168</x:v>
      </x:c>
      <x:c r="C240" s="50" t="str">
        <x:v>Direct</x:v>
      </x:c>
      <x:c r="D240" s="50" t="str">
        <x:v>TEAM-06</x:v>
      </x:c>
    </x:row>
    <x:row r="241">
      <x:c r="A241" s="50" t="str">
        <x:v>SYN0238</x:v>
      </x:c>
      <x:c r="B241" s="51" t="n">
        <x:v>46222</x:v>
      </x:c>
      <x:c r="C241" s="50" t="str">
        <x:v>Employer</x:v>
      </x:c>
      <x:c r="D241" s="50" t="str">
        <x:v>TEAM-03</x:v>
      </x:c>
    </x:row>
    <x:row r="242">
      <x:c r="A242" s="50" t="str">
        <x:v>SYN0239</x:v>
      </x:c>
      <x:c r="B242" s="51" t="n">
        <x:v>46236</x:v>
      </x:c>
      <x:c r="C242" s="50" t="str">
        <x:v>Direct</x:v>
      </x:c>
      <x:c r="D242" s="50" t="str">
        <x:v>TEAM-04</x:v>
      </x:c>
    </x:row>
    <x:row r="243">
      <x:c r="A243" s="50" t="str">
        <x:v>SYN0240</x:v>
      </x:c>
      <x:c r="B243" s="51" t="n">
        <x:v>46256</x:v>
      </x:c>
      <x:c r="C243" s="50" t="str">
        <x:v>Direct</x:v>
      </x:c>
      <x:c r="D243" s="50" t="str">
        <x:v>TEAM-04</x:v>
      </x:c>
    </x:row>
    <x:row r="244">
      <x:c r="A244" s="50" t="str">
        <x:v>SYN0241</x:v>
      </x:c>
      <x:c r="B244" s="51" t="n">
        <x:v>46052</x:v>
      </x:c>
      <x:c r="C244" s="50" t="str">
        <x:v>Direct</x:v>
      </x:c>
      <x:c r="D244" s="50" t="str">
        <x:v>TEAM-02</x:v>
      </x:c>
    </x:row>
    <x:row r="245">
      <x:c r="A245" s="50" t="str">
        <x:v>SYN0242</x:v>
      </x:c>
      <x:c r="B245" s="51" t="n">
        <x:v>46201</x:v>
      </x:c>
      <x:c r="C245" s="50" t="str">
        <x:v>Direct</x:v>
      </x:c>
      <x:c r="D245" s="50" t="str">
        <x:v>TEAM-03</x:v>
      </x:c>
    </x:row>
    <x:row r="246">
      <x:c r="A246" s="50" t="str">
        <x:v>SYN0243</x:v>
      </x:c>
      <x:c r="B246" s="51" t="n">
        <x:v>46069</x:v>
      </x:c>
      <x:c r="C246" s="50" t="str">
        <x:v>Employer</x:v>
      </x:c>
      <x:c r="D246" s="50" t="str">
        <x:v>TEAM-06</x:v>
      </x:c>
    </x:row>
    <x:row r="247">
      <x:c r="A247" s="50" t="str">
        <x:v>SYN0244</x:v>
      </x:c>
      <x:c r="B247" s="51" t="n">
        <x:v>46176</x:v>
      </x:c>
      <x:c r="C247" s="50" t="str">
        <x:v>Employer</x:v>
      </x:c>
      <x:c r="D247" s="50" t="str">
        <x:v>TEAM-02</x:v>
      </x:c>
    </x:row>
    <x:row r="248">
      <x:c r="A248" s="50" t="str">
        <x:v>SYN0245</x:v>
      </x:c>
      <x:c r="B248" s="51" t="n">
        <x:v>46167</x:v>
      </x:c>
      <x:c r="C248" s="50" t="str">
        <x:v>Direct</x:v>
      </x:c>
      <x:c r="D248" s="50" t="str">
        <x:v>TEAM-03</x:v>
      </x:c>
    </x:row>
    <x:row r="249">
      <x:c r="A249" s="50" t="str">
        <x:v>SYN0246</x:v>
      </x:c>
      <x:c r="B249" s="51" t="n">
        <x:v>46035</x:v>
      </x:c>
      <x:c r="C249" s="50" t="str">
        <x:v>Direct</x:v>
      </x:c>
      <x:c r="D249" s="50" t="str">
        <x:v>TEAM-02</x:v>
      </x:c>
    </x:row>
    <x:row r="250">
      <x:c r="A250" s="50" t="str">
        <x:v>SYN0247</x:v>
      </x:c>
      <x:c r="B250" s="51" t="n">
        <x:v>46066</x:v>
      </x:c>
      <x:c r="C250" s="50" t="str">
        <x:v>Employer</x:v>
      </x:c>
      <x:c r="D250" s="50" t="str">
        <x:v>TEAM-06</x:v>
      </x:c>
    </x:row>
    <x:row r="251">
      <x:c r="A251" s="50" t="str">
        <x:v>SYN0248</x:v>
      </x:c>
      <x:c r="B251" s="51" t="n">
        <x:v>46197</x:v>
      </x:c>
      <x:c r="C251" s="50" t="str">
        <x:v>Direct</x:v>
      </x:c>
      <x:c r="D251" s="50" t="str">
        <x:v>TEAM-02</x:v>
      </x:c>
    </x:row>
    <x:row r="252">
      <x:c r="A252" s="50" t="str">
        <x:v>SYN0249</x:v>
      </x:c>
      <x:c r="B252" s="51" t="n">
        <x:v>46154</x:v>
      </x:c>
      <x:c r="C252" s="50" t="str">
        <x:v>Direct</x:v>
      </x:c>
      <x:c r="D252" s="50" t="str">
        <x:v>TEAM-01</x:v>
      </x:c>
    </x:row>
    <x:row r="253">
      <x:c r="A253" s="50" t="str">
        <x:v>SYN0250</x:v>
      </x:c>
      <x:c r="B253" s="51" t="n">
        <x:v>46105</x:v>
      </x:c>
      <x:c r="C253" s="50" t="str">
        <x:v>Direct</x:v>
      </x:c>
      <x:c r="D253" s="50" t="str">
        <x:v>TEAM-04</x:v>
      </x:c>
    </x:row>
    <x:row r="254">
      <x:c r="A254" s="50" t="str">
        <x:v>SYN0251</x:v>
      </x:c>
      <x:c r="B254" s="51" t="n">
        <x:v>46239</x:v>
      </x:c>
      <x:c r="C254" s="50" t="str">
        <x:v>Direct</x:v>
      </x:c>
      <x:c r="D254" s="50" t="str">
        <x:v>TEAM-04</x:v>
      </x:c>
    </x:row>
    <x:row r="255">
      <x:c r="A255" s="50" t="str">
        <x:v>SYN0252</x:v>
      </x:c>
      <x:c r="B255" s="51" t="n">
        <x:v>46207</x:v>
      </x:c>
      <x:c r="C255" s="50" t="str">
        <x:v>Direct</x:v>
      </x:c>
      <x:c r="D255" s="50" t="str">
        <x:v>TEAM-03</x:v>
      </x:c>
    </x:row>
    <x:row r="256">
      <x:c r="A256" s="50" t="str">
        <x:v>SYN0253</x:v>
      </x:c>
      <x:c r="B256" s="51" t="n">
        <x:v>46117</x:v>
      </x:c>
      <x:c r="C256" s="50" t="str">
        <x:v>Direct</x:v>
      </x:c>
      <x:c r="D256" s="50" t="str">
        <x:v>TEAM-03</x:v>
      </x:c>
    </x:row>
    <x:row r="257">
      <x:c r="A257" s="50" t="str">
        <x:v>SYN0254</x:v>
      </x:c>
      <x:c r="B257" s="51" t="n">
        <x:v>46217</x:v>
      </x:c>
      <x:c r="C257" s="50" t="str">
        <x:v>Direct</x:v>
      </x:c>
      <x:c r="D257" s="50" t="str">
        <x:v>TEAM-01</x:v>
      </x:c>
    </x:row>
    <x:row r="258">
      <x:c r="A258" s="50" t="str">
        <x:v>SYN0255</x:v>
      </x:c>
      <x:c r="B258" s="51" t="n">
        <x:v>46214</x:v>
      </x:c>
      <x:c r="C258" s="50" t="str">
        <x:v>Employer</x:v>
      </x:c>
      <x:c r="D258" s="50" t="str">
        <x:v>TEAM-03</x:v>
      </x:c>
    </x:row>
    <x:row r="259">
      <x:c r="A259" s="50" t="str">
        <x:v>SYN0256</x:v>
      </x:c>
      <x:c r="B259" s="51" t="n">
        <x:v>46167</x:v>
      </x:c>
      <x:c r="C259" s="50" t="str">
        <x:v>Direct</x:v>
      </x:c>
      <x:c r="D259" s="50" t="str">
        <x:v>TEAM-02</x:v>
      </x:c>
    </x:row>
    <x:row r="260">
      <x:c r="A260" s="50" t="str">
        <x:v>SYN0257</x:v>
      </x:c>
      <x:c r="B260" s="51" t="n">
        <x:v>46175</x:v>
      </x:c>
      <x:c r="C260" s="50" t="str">
        <x:v>Employer</x:v>
      </x:c>
      <x:c r="D260" s="50" t="str">
        <x:v>TEAM-01</x:v>
      </x:c>
    </x:row>
    <x:row r="261">
      <x:c r="A261" s="50" t="str">
        <x:v>SYN0258</x:v>
      </x:c>
      <x:c r="B261" s="51" t="n">
        <x:v>46239</x:v>
      </x:c>
      <x:c r="C261" s="50" t="str">
        <x:v>Direct</x:v>
      </x:c>
      <x:c r="D261" s="50" t="str">
        <x:v>TEAM-06</x:v>
      </x:c>
    </x:row>
    <x:row r="262">
      <x:c r="A262" s="50" t="str">
        <x:v>SYN0259</x:v>
      </x:c>
      <x:c r="B262" s="51" t="n">
        <x:v>46141</x:v>
      </x:c>
      <x:c r="C262" s="50" t="str">
        <x:v>Employer</x:v>
      </x:c>
      <x:c r="D262" s="50" t="str">
        <x:v>TEAM-02</x:v>
      </x:c>
    </x:row>
    <x:row r="263">
      <x:c r="A263" s="50" t="str">
        <x:v>SYN0260</x:v>
      </x:c>
      <x:c r="B263" s="51" t="n">
        <x:v>46224</x:v>
      </x:c>
      <x:c r="C263" s="50" t="str">
        <x:v>Direct</x:v>
      </x:c>
      <x:c r="D263" s="50" t="str">
        <x:v>TEAM-04</x:v>
      </x:c>
    </x:row>
    <x:row r="264">
      <x:c r="A264" s="50" t="str">
        <x:v>SYN0261</x:v>
      </x:c>
      <x:c r="B264" s="51" t="n">
        <x:v>46104</x:v>
      </x:c>
      <x:c r="C264" s="50" t="str">
        <x:v>Direct</x:v>
      </x:c>
      <x:c r="D264" s="50" t="str">
        <x:v>TEAM-05</x:v>
      </x:c>
    </x:row>
    <x:row r="265">
      <x:c r="A265" s="50" t="str">
        <x:v>SYN0262</x:v>
      </x:c>
      <x:c r="B265" s="51" t="n">
        <x:v>46024</x:v>
      </x:c>
      <x:c r="C265" s="50" t="str">
        <x:v>Direct</x:v>
      </x:c>
      <x:c r="D265" s="50" t="str">
        <x:v>TEAM-03</x:v>
      </x:c>
    </x:row>
    <x:row r="266">
      <x:c r="A266" s="50" t="str">
        <x:v>SYN0263</x:v>
      </x:c>
      <x:c r="B266" s="51" t="n">
        <x:v>46225</x:v>
      </x:c>
      <x:c r="C266" s="50" t="str">
        <x:v>Direct</x:v>
      </x:c>
      <x:c r="D266" s="50" t="str">
        <x:v>TEAM-05</x:v>
      </x:c>
    </x:row>
    <x:row r="267">
      <x:c r="A267" s="50" t="str">
        <x:v>SYN0264</x:v>
      </x:c>
      <x:c r="B267" s="51" t="n">
        <x:v>46081</x:v>
      </x:c>
      <x:c r="C267" s="50" t="str">
        <x:v>Direct</x:v>
      </x:c>
      <x:c r="D267" s="50" t="str">
        <x:v>TEAM-04</x:v>
      </x:c>
    </x:row>
    <x:row r="268">
      <x:c r="A268" s="50" t="str">
        <x:v>SYN0265</x:v>
      </x:c>
      <x:c r="B268" s="51" t="n">
        <x:v>46106</x:v>
      </x:c>
      <x:c r="C268" s="50" t="str">
        <x:v>Direct</x:v>
      </x:c>
      <x:c r="D268" s="50" t="str">
        <x:v>TEAM-03</x:v>
      </x:c>
    </x:row>
    <x:row r="269">
      <x:c r="A269" s="50" t="str">
        <x:v>SYN0266</x:v>
      </x:c>
      <x:c r="B269" s="51" t="n">
        <x:v>46028</x:v>
      </x:c>
      <x:c r="C269" s="50" t="str">
        <x:v>Direct</x:v>
      </x:c>
      <x:c r="D269" s="50" t="str">
        <x:v>TEAM-02</x:v>
      </x:c>
    </x:row>
    <x:row r="270">
      <x:c r="A270" s="50" t="str">
        <x:v>SYN0267</x:v>
      </x:c>
      <x:c r="B270" s="51" t="n">
        <x:v>46111</x:v>
      </x:c>
      <x:c r="C270" s="50" t="str">
        <x:v>Direct</x:v>
      </x:c>
      <x:c r="D270" s="50" t="str">
        <x:v>TEAM-03</x:v>
      </x:c>
    </x:row>
    <x:row r="271">
      <x:c r="A271" s="50" t="str">
        <x:v>SYN0268</x:v>
      </x:c>
      <x:c r="B271" s="51" t="n">
        <x:v>46042</x:v>
      </x:c>
      <x:c r="C271" s="50" t="str">
        <x:v>Direct</x:v>
      </x:c>
      <x:c r="D271" s="50" t="str">
        <x:v>TEAM-02</x:v>
      </x:c>
    </x:row>
    <x:row r="272">
      <x:c r="A272" s="50" t="str">
        <x:v>SYN0269</x:v>
      </x:c>
      <x:c r="B272" s="51" t="n">
        <x:v>46179</x:v>
      </x:c>
      <x:c r="C272" s="50" t="str">
        <x:v>Employer</x:v>
      </x:c>
      <x:c r="D272" s="50" t="str">
        <x:v>TEAM-05</x:v>
      </x:c>
    </x:row>
    <x:row r="273">
      <x:c r="A273" s="50" t="str">
        <x:v>SYN0270</x:v>
      </x:c>
      <x:c r="B273" s="51" t="n">
        <x:v>46067</x:v>
      </x:c>
      <x:c r="C273" s="50" t="str">
        <x:v>Direct</x:v>
      </x:c>
      <x:c r="D273" s="50" t="str">
        <x:v>TEAM-06</x:v>
      </x:c>
    </x:row>
    <x:row r="274">
      <x:c r="A274" s="50" t="str">
        <x:v>SYN0271</x:v>
      </x:c>
      <x:c r="B274" s="51" t="n">
        <x:v>46100</x:v>
      </x:c>
      <x:c r="C274" s="50" t="str">
        <x:v>Direct</x:v>
      </x:c>
      <x:c r="D274" s="50" t="str">
        <x:v>TEAM-04</x:v>
      </x:c>
    </x:row>
    <x:row r="275">
      <x:c r="A275" s="50" t="str">
        <x:v>SYN0272</x:v>
      </x:c>
      <x:c r="B275" s="51" t="n">
        <x:v>46087</x:v>
      </x:c>
      <x:c r="C275" s="50" t="str">
        <x:v>Direct</x:v>
      </x:c>
      <x:c r="D275" s="50" t="str">
        <x:v>TEAM-02</x:v>
      </x:c>
    </x:row>
    <x:row r="276">
      <x:c r="A276" s="50" t="str">
        <x:v>SYN0273</x:v>
      </x:c>
      <x:c r="B276" s="51" t="n">
        <x:v>46084</x:v>
      </x:c>
      <x:c r="C276" s="50" t="str">
        <x:v>Employer</x:v>
      </x:c>
      <x:c r="D276" s="50" t="str">
        <x:v>TEAM-06</x:v>
      </x:c>
    </x:row>
    <x:row r="277">
      <x:c r="A277" s="50" t="str">
        <x:v>SYN0274</x:v>
      </x:c>
      <x:c r="B277" s="51" t="n">
        <x:v>46157</x:v>
      </x:c>
      <x:c r="C277" s="50" t="str">
        <x:v>Employer</x:v>
      </x:c>
      <x:c r="D277" s="50" t="str">
        <x:v>TEAM-01</x:v>
      </x:c>
    </x:row>
    <x:row r="278">
      <x:c r="A278" s="50" t="str">
        <x:v>SYN0275</x:v>
      </x:c>
      <x:c r="B278" s="51" t="n">
        <x:v>46159</x:v>
      </x:c>
      <x:c r="C278" s="50" t="str">
        <x:v>Employer</x:v>
      </x:c>
      <x:c r="D278" s="50" t="str">
        <x:v>TEAM-05</x:v>
      </x:c>
    </x:row>
    <x:row r="279">
      <x:c r="A279" s="50" t="str">
        <x:v>SYN0276</x:v>
      </x:c>
      <x:c r="B279" s="51" t="n">
        <x:v>46079</x:v>
      </x:c>
      <x:c r="C279" s="50" t="str">
        <x:v>Direct</x:v>
      </x:c>
      <x:c r="D279" s="50" t="str">
        <x:v>TEAM-04</x:v>
      </x:c>
    </x:row>
    <x:row r="280">
      <x:c r="A280" s="50" t="str">
        <x:v>SYN0277</x:v>
      </x:c>
      <x:c r="B280" s="51" t="n">
        <x:v>46079</x:v>
      </x:c>
      <x:c r="C280" s="50" t="str">
        <x:v>Direct</x:v>
      </x:c>
      <x:c r="D280" s="50" t="str">
        <x:v>TEAM-01</x:v>
      </x:c>
    </x:row>
    <x:row r="281">
      <x:c r="A281" s="50" t="str">
        <x:v>SYN0278</x:v>
      </x:c>
      <x:c r="B281" s="51" t="n">
        <x:v>46142</x:v>
      </x:c>
      <x:c r="C281" s="50" t="str">
        <x:v>Direct</x:v>
      </x:c>
      <x:c r="D281" s="50" t="str">
        <x:v>TEAM-06</x:v>
      </x:c>
    </x:row>
    <x:row r="282">
      <x:c r="A282" s="50" t="str">
        <x:v>SYN0279</x:v>
      </x:c>
      <x:c r="B282" s="51" t="n">
        <x:v>46130</x:v>
      </x:c>
      <x:c r="C282" s="50" t="str">
        <x:v>Employer</x:v>
      </x:c>
      <x:c r="D282" s="50" t="str">
        <x:v>TEAM-02</x:v>
      </x:c>
    </x:row>
    <x:row r="283">
      <x:c r="A283" s="50" t="str">
        <x:v>SYN0280</x:v>
      </x:c>
      <x:c r="B283" s="51" t="n">
        <x:v>46025</x:v>
      </x:c>
      <x:c r="C283" s="50" t="str">
        <x:v>Direct</x:v>
      </x:c>
      <x:c r="D283" s="50" t="str">
        <x:v>TEAM-01</x:v>
      </x:c>
    </x:row>
    <x:row r="284">
      <x:c r="A284" s="50" t="str">
        <x:v>SYN0281</x:v>
      </x:c>
      <x:c r="B284" s="51" t="n">
        <x:v>46135</x:v>
      </x:c>
      <x:c r="C284" s="50" t="str">
        <x:v>Direct</x:v>
      </x:c>
      <x:c r="D284" s="50" t="str">
        <x:v>TEAM-05</x:v>
      </x:c>
    </x:row>
    <x:row r="285">
      <x:c r="A285" s="50" t="str">
        <x:v>SYN0282</x:v>
      </x:c>
      <x:c r="B285" s="51" t="n">
        <x:v>46113</x:v>
      </x:c>
      <x:c r="C285" s="50" t="str">
        <x:v>Employer</x:v>
      </x:c>
      <x:c r="D285" s="50" t="str">
        <x:v>TEAM-03</x:v>
      </x:c>
    </x:row>
    <x:row r="286">
      <x:c r="A286" s="50" t="str">
        <x:v>SYN0283</x:v>
      </x:c>
      <x:c r="B286" s="51" t="n">
        <x:v>46037</x:v>
      </x:c>
      <x:c r="C286" s="50" t="str">
        <x:v>Direct</x:v>
      </x:c>
      <x:c r="D286" s="50" t="str">
        <x:v>TEAM-05</x:v>
      </x:c>
    </x:row>
    <x:row r="287">
      <x:c r="A287" s="50" t="str">
        <x:v>SYN0284</x:v>
      </x:c>
      <x:c r="B287" s="51" t="n">
        <x:v>46069</x:v>
      </x:c>
      <x:c r="C287" s="50" t="str">
        <x:v>Direct</x:v>
      </x:c>
      <x:c r="D287" s="50" t="str">
        <x:v>TEAM-03</x:v>
      </x:c>
    </x:row>
    <x:row r="288">
      <x:c r="A288" s="50" t="str">
        <x:v>SYN0285</x:v>
      </x:c>
      <x:c r="B288" s="51" t="n">
        <x:v>46034</x:v>
      </x:c>
      <x:c r="C288" s="50" t="str">
        <x:v>Employer</x:v>
      </x:c>
      <x:c r="D288" s="50" t="str">
        <x:v>TEAM-01</x:v>
      </x:c>
    </x:row>
    <x:row r="289">
      <x:c r="A289" s="50" t="str">
        <x:v>SYN0286</x:v>
      </x:c>
      <x:c r="B289" s="51" t="n">
        <x:v>46209</x:v>
      </x:c>
      <x:c r="C289" s="50" t="str">
        <x:v>Direct</x:v>
      </x:c>
      <x:c r="D289" s="50" t="str">
        <x:v>TEAM-03</x:v>
      </x:c>
    </x:row>
    <x:row r="290">
      <x:c r="A290" s="50" t="str">
        <x:v>SYN0287</x:v>
      </x:c>
      <x:c r="B290" s="51" t="n">
        <x:v>46239</x:v>
      </x:c>
      <x:c r="C290" s="50" t="str">
        <x:v>Employer</x:v>
      </x:c>
      <x:c r="D290" s="50" t="str">
        <x:v>TEAM-05</x:v>
      </x:c>
    </x:row>
    <x:row r="291">
      <x:c r="A291" s="50" t="str">
        <x:v>SYN0288</x:v>
      </x:c>
      <x:c r="B291" s="51" t="n">
        <x:v>46152</x:v>
      </x:c>
      <x:c r="C291" s="50" t="str">
        <x:v>Direct</x:v>
      </x:c>
      <x:c r="D291" s="50" t="str">
        <x:v>TEAM-03</x:v>
      </x:c>
    </x:row>
    <x:row r="292">
      <x:c r="A292" s="50" t="str">
        <x:v>SYN0289</x:v>
      </x:c>
      <x:c r="B292" s="51" t="n">
        <x:v>46167</x:v>
      </x:c>
      <x:c r="C292" s="50" t="str">
        <x:v>Employer</x:v>
      </x:c>
      <x:c r="D292" s="50" t="str">
        <x:v>TEAM-06</x:v>
      </x:c>
    </x:row>
    <x:row r="293">
      <x:c r="A293" s="50" t="str">
        <x:v>SYN0290</x:v>
      </x:c>
      <x:c r="B293" s="51" t="n">
        <x:v>46083</x:v>
      </x:c>
      <x:c r="C293" s="50" t="str">
        <x:v>Direct</x:v>
      </x:c>
      <x:c r="D293" s="50" t="str">
        <x:v>TEAM-01</x:v>
      </x:c>
    </x:row>
    <x:row r="294">
      <x:c r="A294" s="50" t="str">
        <x:v>SYN0291</x:v>
      </x:c>
      <x:c r="B294" s="51" t="n">
        <x:v>46091</x:v>
      </x:c>
      <x:c r="C294" s="50" t="str">
        <x:v>Direct</x:v>
      </x:c>
      <x:c r="D294" s="50" t="str">
        <x:v>TEAM-04</x:v>
      </x:c>
    </x:row>
    <x:row r="295">
      <x:c r="A295" s="50" t="str">
        <x:v>SYN0292</x:v>
      </x:c>
      <x:c r="B295" s="51" t="n">
        <x:v>46056</x:v>
      </x:c>
      <x:c r="C295" s="50" t="str">
        <x:v>Direct</x:v>
      </x:c>
      <x:c r="D295" s="50" t="str">
        <x:v>TEAM-01</x:v>
      </x:c>
    </x:row>
    <x:row r="296">
      <x:c r="A296" s="50" t="str">
        <x:v>SYN0293</x:v>
      </x:c>
      <x:c r="B296" s="51" t="n">
        <x:v>46165</x:v>
      </x:c>
      <x:c r="C296" s="50" t="str">
        <x:v>Direct</x:v>
      </x:c>
      <x:c r="D296" s="50" t="str">
        <x:v>TEAM-05</x:v>
      </x:c>
    </x:row>
    <x:row r="297">
      <x:c r="A297" s="50" t="str">
        <x:v>SYN0294</x:v>
      </x:c>
      <x:c r="B297" s="51" t="n">
        <x:v>46137</x:v>
      </x:c>
      <x:c r="C297" s="50" t="str">
        <x:v>Employer</x:v>
      </x:c>
      <x:c r="D297" s="50" t="str">
        <x:v>TEAM-02</x:v>
      </x:c>
    </x:row>
    <x:row r="298">
      <x:c r="A298" s="50" t="str">
        <x:v>SYN0295</x:v>
      </x:c>
      <x:c r="B298" s="51" t="n">
        <x:v>46039</x:v>
      </x:c>
      <x:c r="C298" s="50" t="str">
        <x:v>Direct</x:v>
      </x:c>
      <x:c r="D298" s="50" t="str">
        <x:v>TEAM-06</x:v>
      </x:c>
    </x:row>
    <x:row r="299">
      <x:c r="A299" s="50" t="str">
        <x:v>SYN0296</x:v>
      </x:c>
      <x:c r="B299" s="51" t="n">
        <x:v>46038</x:v>
      </x:c>
      <x:c r="C299" s="50" t="str">
        <x:v>Employer</x:v>
      </x:c>
      <x:c r="D299" s="50" t="str">
        <x:v>TEAM-04</x:v>
      </x:c>
    </x:row>
    <x:row r="300">
      <x:c r="A300" s="50" t="str">
        <x:v>SYN0297</x:v>
      </x:c>
      <x:c r="B300" s="51" t="n">
        <x:v>46132</x:v>
      </x:c>
      <x:c r="C300" s="50" t="str">
        <x:v>Employer</x:v>
      </x:c>
      <x:c r="D300" s="50" t="str">
        <x:v>TEAM-03</x:v>
      </x:c>
    </x:row>
    <x:row r="301">
      <x:c r="A301" s="50" t="str">
        <x:v>SYN0298</x:v>
      </x:c>
      <x:c r="B301" s="51" t="n">
        <x:v>46088</x:v>
      </x:c>
      <x:c r="C301" s="50" t="str">
        <x:v>Employer</x:v>
      </x:c>
      <x:c r="D301" s="50" t="str">
        <x:v>TEAM-01</x:v>
      </x:c>
    </x:row>
    <x:row r="302">
      <x:c r="A302" s="50" t="str">
        <x:v>SYN0299</x:v>
      </x:c>
      <x:c r="B302" s="51" t="n">
        <x:v>46077</x:v>
      </x:c>
      <x:c r="C302" s="50" t="str">
        <x:v>Employer</x:v>
      </x:c>
      <x:c r="D302" s="50" t="str">
        <x:v>TEAM-01</x:v>
      </x:c>
    </x:row>
    <x:row r="303">
      <x:c r="A303" s="50" t="str">
        <x:v>SYN0300</x:v>
      </x:c>
      <x:c r="B303" s="51" t="n">
        <x:v>46229</x:v>
      </x:c>
      <x:c r="C303" s="50" t="str">
        <x:v>Employer</x:v>
      </x:c>
      <x:c r="D303" s="50" t="str">
        <x:v>TEAM-05</x:v>
      </x:c>
    </x:row>
    <x:row r="304">
      <x:c r="A304" s="50" t="str">
        <x:v>SYN0301</x:v>
      </x:c>
      <x:c r="B304" s="51" t="n">
        <x:v>46094</x:v>
      </x:c>
      <x:c r="C304" s="50" t="str">
        <x:v>Employer</x:v>
      </x:c>
      <x:c r="D304" s="50" t="str">
        <x:v>TEAM-06</x:v>
      </x:c>
    </x:row>
    <x:row r="305">
      <x:c r="A305" s="50" t="str">
        <x:v>SYN0302</x:v>
      </x:c>
      <x:c r="B305" s="51" t="n">
        <x:v>46173</x:v>
      </x:c>
      <x:c r="C305" s="50" t="str">
        <x:v>Employer</x:v>
      </x:c>
      <x:c r="D305" s="50" t="str">
        <x:v>TEAM-02</x:v>
      </x:c>
    </x:row>
    <x:row r="306">
      <x:c r="A306" s="50" t="str">
        <x:v>SYN0303</x:v>
      </x:c>
      <x:c r="B306" s="51" t="n">
        <x:v>46207</x:v>
      </x:c>
      <x:c r="C306" s="50" t="str">
        <x:v>Employer</x:v>
      </x:c>
      <x:c r="D306" s="50" t="str">
        <x:v>TEAM-01</x:v>
      </x:c>
    </x:row>
    <x:row r="307">
      <x:c r="A307" s="50" t="str">
        <x:v>SYN0304</x:v>
      </x:c>
      <x:c r="B307" s="51" t="n">
        <x:v>46127</x:v>
      </x:c>
      <x:c r="C307" s="50" t="str">
        <x:v>Direct</x:v>
      </x:c>
      <x:c r="D307" s="50" t="str">
        <x:v>TEAM-01</x:v>
      </x:c>
    </x:row>
    <x:row r="308">
      <x:c r="A308" s="50" t="str">
        <x:v>SYN0305</x:v>
      </x:c>
      <x:c r="B308" s="51" t="n">
        <x:v>46033</x:v>
      </x:c>
      <x:c r="C308" s="50" t="str">
        <x:v>Employer</x:v>
      </x:c>
      <x:c r="D308" s="50" t="str">
        <x:v>TEAM-01</x:v>
      </x:c>
    </x:row>
    <x:row r="309">
      <x:c r="A309" s="50" t="str">
        <x:v>SYN0306</x:v>
      </x:c>
      <x:c r="B309" s="51" t="n">
        <x:v>46229</x:v>
      </x:c>
      <x:c r="C309" s="50" t="str">
        <x:v>Direct</x:v>
      </x:c>
      <x:c r="D309" s="50" t="str">
        <x:v>TEAM-06</x:v>
      </x:c>
    </x:row>
    <x:row r="310">
      <x:c r="A310" s="50" t="str">
        <x:v>SYN0307</x:v>
      </x:c>
      <x:c r="B310" s="51" t="n">
        <x:v>46071</x:v>
      </x:c>
      <x:c r="C310" s="50" t="str">
        <x:v>Direct</x:v>
      </x:c>
      <x:c r="D310" s="50" t="str">
        <x:v>TEAM-06</x:v>
      </x:c>
    </x:row>
    <x:row r="311">
      <x:c r="A311" s="50" t="str">
        <x:v>SYN0308</x:v>
      </x:c>
      <x:c r="B311" s="51" t="n">
        <x:v>46167</x:v>
      </x:c>
      <x:c r="C311" s="50" t="str">
        <x:v>Direct</x:v>
      </x:c>
      <x:c r="D311" s="50" t="str">
        <x:v>TEAM-06</x:v>
      </x:c>
    </x:row>
    <x:row r="312">
      <x:c r="A312" s="50" t="str">
        <x:v>SYN0309</x:v>
      </x:c>
      <x:c r="B312" s="51" t="n">
        <x:v>46147</x:v>
      </x:c>
      <x:c r="C312" s="50" t="str">
        <x:v>Direct</x:v>
      </x:c>
      <x:c r="D312" s="50" t="str">
        <x:v>TEAM-05</x:v>
      </x:c>
    </x:row>
    <x:row r="313">
      <x:c r="A313" s="50" t="str">
        <x:v>SYN0310</x:v>
      </x:c>
      <x:c r="B313" s="51" t="n">
        <x:v>46072</x:v>
      </x:c>
      <x:c r="C313" s="50" t="str">
        <x:v>Direct</x:v>
      </x:c>
      <x:c r="D313" s="50" t="str">
        <x:v>TEAM-03</x:v>
      </x:c>
    </x:row>
    <x:row r="314">
      <x:c r="A314" s="50" t="str">
        <x:v>SYN0311</x:v>
      </x:c>
      <x:c r="B314" s="51" t="n">
        <x:v>46099</x:v>
      </x:c>
      <x:c r="C314" s="50" t="str">
        <x:v>Direct</x:v>
      </x:c>
      <x:c r="D314" s="50" t="str">
        <x:v>TEAM-03</x:v>
      </x:c>
    </x:row>
    <x:row r="315">
      <x:c r="A315" s="50" t="str">
        <x:v>SYN0312</x:v>
      </x:c>
      <x:c r="B315" s="51" t="n">
        <x:v>46124</x:v>
      </x:c>
      <x:c r="C315" s="50" t="str">
        <x:v>Employer</x:v>
      </x:c>
      <x:c r="D315" s="50" t="str">
        <x:v>TEAM-02</x:v>
      </x:c>
    </x:row>
    <x:row r="316">
      <x:c r="A316" s="50" t="str">
        <x:v>SYN0313</x:v>
      </x:c>
      <x:c r="B316" s="51" t="n">
        <x:v>46031</x:v>
      </x:c>
      <x:c r="C316" s="50" t="str">
        <x:v>Employer</x:v>
      </x:c>
      <x:c r="D316" s="50" t="str">
        <x:v>TEAM-03</x:v>
      </x:c>
    </x:row>
    <x:row r="317">
      <x:c r="A317" s="50" t="str">
        <x:v>SYN0314</x:v>
      </x:c>
      <x:c r="B317" s="51" t="n">
        <x:v>46153</x:v>
      </x:c>
      <x:c r="C317" s="50" t="str">
        <x:v>Direct</x:v>
      </x:c>
      <x:c r="D317" s="50" t="str">
        <x:v>TEAM-04</x:v>
      </x:c>
    </x:row>
    <x:row r="318">
      <x:c r="A318" s="50" t="str">
        <x:v>SYN0315</x:v>
      </x:c>
      <x:c r="B318" s="51" t="n">
        <x:v>46144</x:v>
      </x:c>
      <x:c r="C318" s="50" t="str">
        <x:v>Direct</x:v>
      </x:c>
      <x:c r="D318" s="50" t="str">
        <x:v>TEAM-01</x:v>
      </x:c>
    </x:row>
    <x:row r="319">
      <x:c r="A319" s="50" t="str">
        <x:v>SYN0316</x:v>
      </x:c>
      <x:c r="B319" s="51" t="n">
        <x:v>46115</x:v>
      </x:c>
      <x:c r="C319" s="50" t="str">
        <x:v>Direct</x:v>
      </x:c>
      <x:c r="D319" s="50" t="str">
        <x:v>TEAM-01</x:v>
      </x:c>
    </x:row>
    <x:row r="320">
      <x:c r="A320" s="50" t="str">
        <x:v>SYN0317</x:v>
      </x:c>
      <x:c r="B320" s="51" t="n">
        <x:v>46243</x:v>
      </x:c>
      <x:c r="C320" s="50" t="str">
        <x:v>Direct</x:v>
      </x:c>
      <x:c r="D320" s="50" t="str">
        <x:v>TEAM-06</x:v>
      </x:c>
    </x:row>
    <x:row r="321">
      <x:c r="A321" s="50" t="str">
        <x:v>SYN0318</x:v>
      </x:c>
      <x:c r="B321" s="51" t="n">
        <x:v>46109</x:v>
      </x:c>
      <x:c r="C321" s="50" t="str">
        <x:v>Direct</x:v>
      </x:c>
      <x:c r="D321" s="50" t="str">
        <x:v>TEAM-03</x:v>
      </x:c>
    </x:row>
    <x:row r="322">
      <x:c r="A322" s="50" t="str">
        <x:v>SYN0319</x:v>
      </x:c>
      <x:c r="B322" s="51" t="n">
        <x:v>46248</x:v>
      </x:c>
      <x:c r="C322" s="50" t="str">
        <x:v>Employer</x:v>
      </x:c>
      <x:c r="D322" s="50" t="str">
        <x:v>TEAM-03</x:v>
      </x:c>
    </x:row>
    <x:row r="323">
      <x:c r="A323" s="50" t="str">
        <x:v>SYN0320</x:v>
      </x:c>
      <x:c r="B323" s="51" t="n">
        <x:v>46175</x:v>
      </x:c>
      <x:c r="C323" s="50" t="str">
        <x:v>Direct</x:v>
      </x:c>
      <x:c r="D323" s="50" t="str">
        <x:v>TEAM-02</x:v>
      </x:c>
    </x:row>
    <x:row r="324">
      <x:c r="A324" s="50" t="str">
        <x:v>SYN0321</x:v>
      </x:c>
      <x:c r="B324" s="51" t="n">
        <x:v>46263</x:v>
      </x:c>
      <x:c r="C324" s="50" t="str">
        <x:v>Direct</x:v>
      </x:c>
      <x:c r="D324" s="50" t="str">
        <x:v>TEAM-05</x:v>
      </x:c>
    </x:row>
    <x:row r="325">
      <x:c r="A325" s="50" t="str">
        <x:v>SYN0322</x:v>
      </x:c>
      <x:c r="B325" s="51" t="n">
        <x:v>46111</x:v>
      </x:c>
      <x:c r="C325" s="50" t="str">
        <x:v>Employer</x:v>
      </x:c>
      <x:c r="D325" s="50" t="str">
        <x:v>TEAM-02</x:v>
      </x:c>
    </x:row>
    <x:row r="326">
      <x:c r="A326" s="50" t="str">
        <x:v>SYN0323</x:v>
      </x:c>
      <x:c r="B326" s="51" t="n">
        <x:v>46087</x:v>
      </x:c>
      <x:c r="C326" s="50" t="str">
        <x:v>Direct</x:v>
      </x:c>
      <x:c r="D326" s="50" t="str">
        <x:v>TEAM-01</x:v>
      </x:c>
    </x:row>
    <x:row r="327">
      <x:c r="A327" s="50" t="str">
        <x:v>SYN0324</x:v>
      </x:c>
      <x:c r="B327" s="51" t="n">
        <x:v>46098</x:v>
      </x:c>
      <x:c r="C327" s="50" t="str">
        <x:v>Employer</x:v>
      </x:c>
      <x:c r="D327" s="50" t="str">
        <x:v>TEAM-02</x:v>
      </x:c>
    </x:row>
    <x:row r="328">
      <x:c r="A328" s="50" t="str">
        <x:v>SYN0325</x:v>
      </x:c>
      <x:c r="B328" s="51" t="n">
        <x:v>46028</x:v>
      </x:c>
      <x:c r="C328" s="50" t="str">
        <x:v>Direct</x:v>
      </x:c>
      <x:c r="D328" s="50" t="str">
        <x:v>TEAM-06</x:v>
      </x:c>
    </x:row>
    <x:row r="329">
      <x:c r="A329" s="50" t="str">
        <x:v>SYN0326</x:v>
      </x:c>
      <x:c r="B329" s="51" t="n">
        <x:v>46169</x:v>
      </x:c>
      <x:c r="C329" s="50" t="str">
        <x:v>Employer</x:v>
      </x:c>
      <x:c r="D329" s="50" t="str">
        <x:v>TEAM-06</x:v>
      </x:c>
    </x:row>
    <x:row r="330">
      <x:c r="A330" s="50" t="str">
        <x:v>SYN0327</x:v>
      </x:c>
      <x:c r="B330" s="51" t="n">
        <x:v>46178</x:v>
      </x:c>
      <x:c r="C330" s="50" t="str">
        <x:v>Direct</x:v>
      </x:c>
      <x:c r="D330" s="50" t="str">
        <x:v>TEAM-03</x:v>
      </x:c>
    </x:row>
    <x:row r="331">
      <x:c r="A331" s="50" t="str">
        <x:v>SYN0328</x:v>
      </x:c>
      <x:c r="B331" s="51" t="n">
        <x:v>46059</x:v>
      </x:c>
      <x:c r="C331" s="50" t="str">
        <x:v>Direct</x:v>
      </x:c>
      <x:c r="D331" s="50" t="str">
        <x:v>TEAM-04</x:v>
      </x:c>
    </x:row>
    <x:row r="332">
      <x:c r="A332" s="50" t="str">
        <x:v>SYN0329</x:v>
      </x:c>
      <x:c r="B332" s="51" t="n">
        <x:v>46176</x:v>
      </x:c>
      <x:c r="C332" s="50" t="str">
        <x:v>Direct</x:v>
      </x:c>
      <x:c r="D332" s="50" t="str">
        <x:v>TEAM-01</x:v>
      </x:c>
    </x:row>
    <x:row r="333">
      <x:c r="A333" s="50" t="str">
        <x:v>SYN0330</x:v>
      </x:c>
      <x:c r="B333" s="51" t="n">
        <x:v>46036</x:v>
      </x:c>
      <x:c r="C333" s="50" t="str">
        <x:v>Direct</x:v>
      </x:c>
      <x:c r="D333" s="50" t="str">
        <x:v>TEAM-03</x:v>
      </x:c>
    </x:row>
    <x:row r="334">
      <x:c r="A334" s="50" t="str">
        <x:v>SYN0331</x:v>
      </x:c>
      <x:c r="B334" s="51" t="n">
        <x:v>46233</x:v>
      </x:c>
      <x:c r="C334" s="50" t="str">
        <x:v>Direct</x:v>
      </x:c>
      <x:c r="D334" s="50" t="str">
        <x:v>TEAM-01</x:v>
      </x:c>
    </x:row>
    <x:row r="335">
      <x:c r="A335" s="50" t="str">
        <x:v>SYN0332</x:v>
      </x:c>
      <x:c r="B335" s="51" t="n">
        <x:v>46056</x:v>
      </x:c>
      <x:c r="C335" s="50" t="str">
        <x:v>Employer</x:v>
      </x:c>
      <x:c r="D335" s="50" t="str">
        <x:v>TEAM-03</x:v>
      </x:c>
    </x:row>
    <x:row r="336">
      <x:c r="A336" s="50" t="str">
        <x:v>SYN0333</x:v>
      </x:c>
      <x:c r="B336" s="51" t="n">
        <x:v>46039</x:v>
      </x:c>
      <x:c r="C336" s="50" t="str">
        <x:v>Direct</x:v>
      </x:c>
      <x:c r="D336" s="50" t="str">
        <x:v>TEAM-05</x:v>
      </x:c>
    </x:row>
    <x:row r="337">
      <x:c r="A337" s="50" t="str">
        <x:v>SYN0334</x:v>
      </x:c>
      <x:c r="B337" s="51" t="n">
        <x:v>46229</x:v>
      </x:c>
      <x:c r="C337" s="50" t="str">
        <x:v>Employer</x:v>
      </x:c>
      <x:c r="D337" s="50" t="str">
        <x:v>TEAM-02</x:v>
      </x:c>
    </x:row>
    <x:row r="338">
      <x:c r="A338" s="50" t="str">
        <x:v>SYN0335</x:v>
      </x:c>
      <x:c r="B338" s="51" t="n">
        <x:v>46191</x:v>
      </x:c>
      <x:c r="C338" s="50" t="str">
        <x:v>Direct</x:v>
      </x:c>
      <x:c r="D338" s="50" t="str">
        <x:v>TEAM-05</x:v>
      </x:c>
    </x:row>
    <x:row r="339">
      <x:c r="A339" s="50" t="str">
        <x:v>SYN0336</x:v>
      </x:c>
      <x:c r="B339" s="51" t="n">
        <x:v>46026</x:v>
      </x:c>
      <x:c r="C339" s="50" t="str">
        <x:v>Employer</x:v>
      </x:c>
      <x:c r="D339" s="50" t="str">
        <x:v>TEAM-04</x:v>
      </x:c>
    </x:row>
    <x:row r="340">
      <x:c r="A340" s="50" t="str">
        <x:v>SYN0337</x:v>
      </x:c>
      <x:c r="B340" s="51" t="n">
        <x:v>46063</x:v>
      </x:c>
      <x:c r="C340" s="50" t="str">
        <x:v>Direct</x:v>
      </x:c>
      <x:c r="D340" s="50" t="str">
        <x:v>TEAM-01</x:v>
      </x:c>
    </x:row>
    <x:row r="341">
      <x:c r="A341" s="50" t="str">
        <x:v>SYN0338</x:v>
      </x:c>
      <x:c r="B341" s="51" t="n">
        <x:v>46158</x:v>
      </x:c>
      <x:c r="C341" s="50" t="str">
        <x:v>Direct</x:v>
      </x:c>
      <x:c r="D341" s="50" t="str">
        <x:v>TEAM-04</x:v>
      </x:c>
    </x:row>
    <x:row r="342">
      <x:c r="A342" s="50" t="str">
        <x:v>SYN0339</x:v>
      </x:c>
      <x:c r="B342" s="51" t="n">
        <x:v>46044</x:v>
      </x:c>
      <x:c r="C342" s="50" t="str">
        <x:v>Direct</x:v>
      </x:c>
      <x:c r="D342" s="50" t="str">
        <x:v>TEAM-02</x:v>
      </x:c>
    </x:row>
    <x:row r="343">
      <x:c r="A343" s="50" t="str">
        <x:v>SYN0340</x:v>
      </x:c>
      <x:c r="B343" s="51" t="n">
        <x:v>46250</x:v>
      </x:c>
      <x:c r="C343" s="50" t="str">
        <x:v>Direct</x:v>
      </x:c>
      <x:c r="D343" s="50" t="str">
        <x:v>TEAM-03</x:v>
      </x:c>
    </x:row>
    <x:row r="344">
      <x:c r="A344" s="50" t="str">
        <x:v>SYN0341</x:v>
      </x:c>
      <x:c r="B344" s="51" t="n">
        <x:v>46079</x:v>
      </x:c>
      <x:c r="C344" s="50" t="str">
        <x:v>Employer</x:v>
      </x:c>
      <x:c r="D344" s="50" t="str">
        <x:v>TEAM-03</x:v>
      </x:c>
    </x:row>
    <x:row r="345">
      <x:c r="A345" s="50" t="str">
        <x:v>SYN0342</x:v>
      </x:c>
      <x:c r="B345" s="51" t="n">
        <x:v>46255</x:v>
      </x:c>
      <x:c r="C345" s="50" t="str">
        <x:v>Direct</x:v>
      </x:c>
      <x:c r="D345" s="50" t="str">
        <x:v>TEAM-04</x:v>
      </x:c>
    </x:row>
    <x:row r="346">
      <x:c r="A346" s="50" t="str">
        <x:v>SYN0343</x:v>
      </x:c>
      <x:c r="B346" s="51" t="n">
        <x:v>46165</x:v>
      </x:c>
      <x:c r="C346" s="50" t="str">
        <x:v>Direct</x:v>
      </x:c>
      <x:c r="D346" s="50" t="str">
        <x:v>TEAM-05</x:v>
      </x:c>
    </x:row>
    <x:row r="347">
      <x:c r="A347" s="50" t="str">
        <x:v>SYN0344</x:v>
      </x:c>
      <x:c r="B347" s="51" t="n">
        <x:v>46202</x:v>
      </x:c>
      <x:c r="C347" s="50" t="str">
        <x:v>Direct</x:v>
      </x:c>
      <x:c r="D347" s="50" t="str">
        <x:v>TEAM-05</x:v>
      </x:c>
    </x:row>
    <x:row r="348">
      <x:c r="A348" s="50" t="str">
        <x:v>SYN0345</x:v>
      </x:c>
      <x:c r="B348" s="51" t="n">
        <x:v>46097</x:v>
      </x:c>
      <x:c r="C348" s="50" t="str">
        <x:v>Employer</x:v>
      </x:c>
      <x:c r="D348" s="50" t="str">
        <x:v>TEAM-02</x:v>
      </x:c>
    </x:row>
    <x:row r="349">
      <x:c r="A349" s="50" t="str">
        <x:v>SYN0346</x:v>
      </x:c>
      <x:c r="B349" s="51" t="n">
        <x:v>46081</x:v>
      </x:c>
      <x:c r="C349" s="50" t="str">
        <x:v>Employer</x:v>
      </x:c>
      <x:c r="D349" s="50" t="str">
        <x:v>TEAM-05</x:v>
      </x:c>
    </x:row>
    <x:row r="350">
      <x:c r="A350" s="50" t="str">
        <x:v>SYN0347</x:v>
      </x:c>
      <x:c r="B350" s="51" t="n">
        <x:v>46265</x:v>
      </x:c>
      <x:c r="C350" s="50" t="str">
        <x:v>Direct</x:v>
      </x:c>
      <x:c r="D350" s="50" t="str">
        <x:v>TEAM-06</x:v>
      </x:c>
    </x:row>
    <x:row r="351">
      <x:c r="A351" s="50" t="str">
        <x:v>SYN0348</x:v>
      </x:c>
      <x:c r="B351" s="51" t="n">
        <x:v>46109</x:v>
      </x:c>
      <x:c r="C351" s="50" t="str">
        <x:v>Direct</x:v>
      </x:c>
      <x:c r="D351" s="50" t="str">
        <x:v>TEAM-05</x:v>
      </x:c>
    </x:row>
    <x:row r="352">
      <x:c r="A352" s="50" t="str">
        <x:v>SYN0349</x:v>
      </x:c>
      <x:c r="B352" s="51" t="n">
        <x:v>46150</x:v>
      </x:c>
      <x:c r="C352" s="50" t="str">
        <x:v>Direct</x:v>
      </x:c>
      <x:c r="D352" s="50" t="str">
        <x:v>TEAM-06</x:v>
      </x:c>
    </x:row>
    <x:row r="353">
      <x:c r="A353" s="50" t="str">
        <x:v>SYN0350</x:v>
      </x:c>
      <x:c r="B353" s="51" t="n">
        <x:v>46071</x:v>
      </x:c>
      <x:c r="C353" s="50" t="str">
        <x:v>Employer</x:v>
      </x:c>
      <x:c r="D353" s="50" t="str">
        <x:v>TEAM-03</x:v>
      </x:c>
    </x:row>
    <x:row r="354">
      <x:c r="A354" s="50" t="str">
        <x:v>SYN0351</x:v>
      </x:c>
      <x:c r="B354" s="51" t="n">
        <x:v>46067</x:v>
      </x:c>
      <x:c r="C354" s="50" t="str">
        <x:v>Direct</x:v>
      </x:c>
      <x:c r="D354" s="50" t="str">
        <x:v>TEAM-06</x:v>
      </x:c>
    </x:row>
    <x:row r="355">
      <x:c r="A355" s="50" t="str">
        <x:v>SYN0352</x:v>
      </x:c>
      <x:c r="B355" s="51" t="n">
        <x:v>46082</x:v>
      </x:c>
      <x:c r="C355" s="50" t="str">
        <x:v>Direct</x:v>
      </x:c>
      <x:c r="D355" s="50" t="str">
        <x:v>TEAM-06</x:v>
      </x:c>
    </x:row>
    <x:row r="356">
      <x:c r="A356" s="50" t="str">
        <x:v>SYN0353</x:v>
      </x:c>
      <x:c r="B356" s="51" t="n">
        <x:v>46087</x:v>
      </x:c>
      <x:c r="C356" s="50" t="str">
        <x:v>Employer</x:v>
      </x:c>
      <x:c r="D356" s="50" t="str">
        <x:v>TEAM-01</x:v>
      </x:c>
    </x:row>
    <x:row r="357">
      <x:c r="A357" s="50" t="str">
        <x:v>SYN0354</x:v>
      </x:c>
      <x:c r="B357" s="51" t="n">
        <x:v>46086</x:v>
      </x:c>
      <x:c r="C357" s="50" t="str">
        <x:v>Employer</x:v>
      </x:c>
      <x:c r="D357" s="50" t="str">
        <x:v>TEAM-01</x:v>
      </x:c>
    </x:row>
    <x:row r="358">
      <x:c r="A358" s="50" t="str">
        <x:v>SYN0355</x:v>
      </x:c>
      <x:c r="B358" s="51" t="n">
        <x:v>46159</x:v>
      </x:c>
      <x:c r="C358" s="50" t="str">
        <x:v>Direct</x:v>
      </x:c>
      <x:c r="D358" s="50" t="str">
        <x:v>TEAM-02</x:v>
      </x:c>
    </x:row>
    <x:row r="359">
      <x:c r="A359" s="50" t="str">
        <x:v>SYN0356</x:v>
      </x:c>
      <x:c r="B359" s="51" t="n">
        <x:v>46236</x:v>
      </x:c>
      <x:c r="C359" s="50" t="str">
        <x:v>Direct</x:v>
      </x:c>
      <x:c r="D359" s="50" t="str">
        <x:v>TEAM-03</x:v>
      </x:c>
    </x:row>
    <x:row r="360">
      <x:c r="A360" s="50" t="str">
        <x:v>SYN0357</x:v>
      </x:c>
      <x:c r="B360" s="51" t="n">
        <x:v>46226</x:v>
      </x:c>
      <x:c r="C360" s="50" t="str">
        <x:v>Employer</x:v>
      </x:c>
      <x:c r="D360" s="50" t="str">
        <x:v>TEAM-06</x:v>
      </x:c>
    </x:row>
    <x:row r="361">
      <x:c r="A361" s="50" t="str">
        <x:v>SYN0358</x:v>
      </x:c>
      <x:c r="B361" s="51" t="n">
        <x:v>46208</x:v>
      </x:c>
      <x:c r="C361" s="50" t="str">
        <x:v>Direct</x:v>
      </x:c>
      <x:c r="D361" s="50" t="str">
        <x:v>TEAM-05</x:v>
      </x:c>
    </x:row>
    <x:row r="362">
      <x:c r="A362" s="50" t="str">
        <x:v>SYN0359</x:v>
      </x:c>
      <x:c r="B362" s="51" t="n">
        <x:v>46134</x:v>
      </x:c>
      <x:c r="C362" s="50" t="str">
        <x:v>Employer</x:v>
      </x:c>
      <x:c r="D362" s="50" t="str">
        <x:v>TEAM-02</x:v>
      </x:c>
    </x:row>
    <x:row r="363">
      <x:c r="A363" s="50" t="str">
        <x:v>SYN0360</x:v>
      </x:c>
      <x:c r="B363" s="51" t="n">
        <x:v>46246</x:v>
      </x:c>
      <x:c r="C363" s="50" t="str">
        <x:v>Employer</x:v>
      </x:c>
      <x:c r="D363" s="50" t="str">
        <x:v>TEAM-02</x:v>
      </x:c>
    </x:row>
    <x:row r="364">
      <x:c r="A364" s="50" t="str">
        <x:v>SYN0361</x:v>
      </x:c>
      <x:c r="B364" s="51" t="n">
        <x:v>46168</x:v>
      </x:c>
      <x:c r="C364" s="50" t="str">
        <x:v>Employer</x:v>
      </x:c>
      <x:c r="D364" s="50" t="str">
        <x:v>TEAM-04</x:v>
      </x:c>
    </x:row>
    <x:row r="365">
      <x:c r="A365" s="50" t="str">
        <x:v>SYN0362</x:v>
      </x:c>
      <x:c r="B365" s="51" t="n">
        <x:v>46098</x:v>
      </x:c>
      <x:c r="C365" s="50" t="str">
        <x:v>Direct</x:v>
      </x:c>
      <x:c r="D365" s="50" t="str">
        <x:v>TEAM-01</x:v>
      </x:c>
    </x:row>
    <x:row r="366">
      <x:c r="A366" s="50" t="str">
        <x:v>SYN0363</x:v>
      </x:c>
      <x:c r="B366" s="51" t="n">
        <x:v>46257</x:v>
      </x:c>
      <x:c r="C366" s="50" t="str">
        <x:v>Direct</x:v>
      </x:c>
      <x:c r="D366" s="50" t="str">
        <x:v>TEAM-03</x:v>
      </x:c>
    </x:row>
    <x:row r="367">
      <x:c r="A367" s="50" t="str">
        <x:v>SYN0364</x:v>
      </x:c>
      <x:c r="B367" s="51" t="n">
        <x:v>46233</x:v>
      </x:c>
      <x:c r="C367" s="50" t="str">
        <x:v>Employer</x:v>
      </x:c>
      <x:c r="D367" s="50" t="str">
        <x:v>TEAM-04</x:v>
      </x:c>
    </x:row>
    <x:row r="368">
      <x:c r="A368" s="50" t="str">
        <x:v>SYN0365</x:v>
      </x:c>
      <x:c r="B368" s="51" t="n">
        <x:v>46204</x:v>
      </x:c>
      <x:c r="C368" s="50" t="str">
        <x:v>Direct</x:v>
      </x:c>
      <x:c r="D368" s="50" t="str">
        <x:v>TEAM-03</x:v>
      </x:c>
    </x:row>
    <x:row r="369">
      <x:c r="A369" s="50" t="str">
        <x:v>SYN0366</x:v>
      </x:c>
      <x:c r="B369" s="51" t="n">
        <x:v>46251</x:v>
      </x:c>
      <x:c r="C369" s="50" t="str">
        <x:v>Direct</x:v>
      </x:c>
      <x:c r="D369" s="50" t="str">
        <x:v>TEAM-06</x:v>
      </x:c>
    </x:row>
    <x:row r="370">
      <x:c r="A370" s="50" t="str">
        <x:v>SYN0367</x:v>
      </x:c>
      <x:c r="B370" s="51" t="n">
        <x:v>46256</x:v>
      </x:c>
      <x:c r="C370" s="50" t="str">
        <x:v>Direct</x:v>
      </x:c>
      <x:c r="D370" s="50" t="str">
        <x:v>TEAM-02</x:v>
      </x:c>
    </x:row>
    <x:row r="371">
      <x:c r="A371" s="50" t="str">
        <x:v>SYN0368</x:v>
      </x:c>
      <x:c r="B371" s="51" t="n">
        <x:v>46058</x:v>
      </x:c>
      <x:c r="C371" s="50" t="str">
        <x:v>Direct</x:v>
      </x:c>
      <x:c r="D371" s="50" t="str">
        <x:v>TEAM-03</x:v>
      </x:c>
    </x:row>
    <x:row r="372">
      <x:c r="A372" s="50" t="str">
        <x:v>SYN0369</x:v>
      </x:c>
      <x:c r="B372" s="51" t="n">
        <x:v>46160</x:v>
      </x:c>
      <x:c r="C372" s="50" t="str">
        <x:v>Employer</x:v>
      </x:c>
      <x:c r="D372" s="50" t="str">
        <x:v>TEAM-02</x:v>
      </x:c>
    </x:row>
    <x:row r="373">
      <x:c r="A373" s="50" t="str">
        <x:v>SYN0370</x:v>
      </x:c>
      <x:c r="B373" s="51" t="n">
        <x:v>46063</x:v>
      </x:c>
      <x:c r="C373" s="50" t="str">
        <x:v>Direct</x:v>
      </x:c>
      <x:c r="D373" s="50" t="str">
        <x:v>TEAM-02</x:v>
      </x:c>
    </x:row>
    <x:row r="374">
      <x:c r="A374" s="50" t="str">
        <x:v>SYN0371</x:v>
      </x:c>
      <x:c r="B374" s="51" t="n">
        <x:v>46258</x:v>
      </x:c>
      <x:c r="C374" s="50" t="str">
        <x:v>Direct</x:v>
      </x:c>
      <x:c r="D374" s="50" t="str">
        <x:v>TEAM-03</x:v>
      </x:c>
    </x:row>
    <x:row r="375">
      <x:c r="A375" s="50" t="str">
        <x:v>SYN0372</x:v>
      </x:c>
      <x:c r="B375" s="51" t="n">
        <x:v>46211</x:v>
      </x:c>
      <x:c r="C375" s="50" t="str">
        <x:v>Employer</x:v>
      </x:c>
      <x:c r="D375" s="50" t="str">
        <x:v>TEAM-05</x:v>
      </x:c>
    </x:row>
    <x:row r="376">
      <x:c r="A376" s="50" t="str">
        <x:v>SYN0373</x:v>
      </x:c>
      <x:c r="B376" s="51" t="n">
        <x:v>46241</x:v>
      </x:c>
      <x:c r="C376" s="50" t="str">
        <x:v>Direct</x:v>
      </x:c>
      <x:c r="D376" s="50" t="str">
        <x:v>TEAM-03</x:v>
      </x:c>
    </x:row>
    <x:row r="377">
      <x:c r="A377" s="50" t="str">
        <x:v>SYN0374</x:v>
      </x:c>
      <x:c r="B377" s="51" t="n">
        <x:v>46036</x:v>
      </x:c>
      <x:c r="C377" s="50" t="str">
        <x:v>Direct</x:v>
      </x:c>
      <x:c r="D377" s="50" t="str">
        <x:v>TEAM-05</x:v>
      </x:c>
    </x:row>
    <x:row r="378">
      <x:c r="A378" s="50" t="str">
        <x:v>SYN0375</x:v>
      </x:c>
      <x:c r="B378" s="51" t="n">
        <x:v>46148</x:v>
      </x:c>
      <x:c r="C378" s="50" t="str">
        <x:v>Direct</x:v>
      </x:c>
      <x:c r="D378" s="50" t="str">
        <x:v>TEAM-06</x:v>
      </x:c>
    </x:row>
    <x:row r="379">
      <x:c r="A379" s="50" t="str">
        <x:v>SYN0376</x:v>
      </x:c>
      <x:c r="B379" s="51" t="n">
        <x:v>46235</x:v>
      </x:c>
      <x:c r="C379" s="50" t="str">
        <x:v>Direct</x:v>
      </x:c>
      <x:c r="D379" s="50" t="str">
        <x:v>TEAM-03</x:v>
      </x:c>
    </x:row>
    <x:row r="380">
      <x:c r="A380" s="50" t="str">
        <x:v>SYN0377</x:v>
      </x:c>
      <x:c r="B380" s="51" t="n">
        <x:v>46114</x:v>
      </x:c>
      <x:c r="C380" s="50" t="str">
        <x:v>Employer</x:v>
      </x:c>
      <x:c r="D380" s="50" t="str">
        <x:v>TEAM-03</x:v>
      </x:c>
    </x:row>
    <x:row r="381">
      <x:c r="A381" s="50" t="str">
        <x:v>SYN0378</x:v>
      </x:c>
      <x:c r="B381" s="51" t="n">
        <x:v>46218</x:v>
      </x:c>
      <x:c r="C381" s="50" t="str">
        <x:v>Direct</x:v>
      </x:c>
      <x:c r="D381" s="50" t="str">
        <x:v>TEAM-03</x:v>
      </x:c>
    </x:row>
    <x:row r="382">
      <x:c r="A382" s="50" t="str">
        <x:v>SYN0379</x:v>
      </x:c>
      <x:c r="B382" s="51" t="n">
        <x:v>46219</x:v>
      </x:c>
      <x:c r="C382" s="50" t="str">
        <x:v>Employer</x:v>
      </x:c>
      <x:c r="D382" s="50" t="str">
        <x:v>TEAM-01</x:v>
      </x:c>
    </x:row>
    <x:row r="383">
      <x:c r="A383" s="50" t="str">
        <x:v>SYN0380</x:v>
      </x:c>
      <x:c r="B383" s="51" t="n">
        <x:v>46024</x:v>
      </x:c>
      <x:c r="C383" s="50" t="str">
        <x:v>Direct</x:v>
      </x:c>
      <x:c r="D383" s="50" t="str">
        <x:v>TEAM-03</x:v>
      </x:c>
    </x:row>
    <x:row r="384">
      <x:c r="A384" s="50" t="str">
        <x:v>SYN0381</x:v>
      </x:c>
      <x:c r="B384" s="51" t="n">
        <x:v>46156</x:v>
      </x:c>
      <x:c r="C384" s="50" t="str">
        <x:v>Direct</x:v>
      </x:c>
      <x:c r="D384" s="50" t="str">
        <x:v>TEAM-06</x:v>
      </x:c>
    </x:row>
    <x:row r="385">
      <x:c r="A385" s="50" t="str">
        <x:v>SYN0382</x:v>
      </x:c>
      <x:c r="B385" s="51" t="n">
        <x:v>46252</x:v>
      </x:c>
      <x:c r="C385" s="50" t="str">
        <x:v>Direct</x:v>
      </x:c>
      <x:c r="D385" s="50" t="str">
        <x:v>TEAM-02</x:v>
      </x:c>
    </x:row>
    <x:row r="386">
      <x:c r="A386" s="50" t="str">
        <x:v>SYN0383</x:v>
      </x:c>
      <x:c r="B386" s="51" t="n">
        <x:v>46181</x:v>
      </x:c>
      <x:c r="C386" s="50" t="str">
        <x:v>Direct</x:v>
      </x:c>
      <x:c r="D386" s="50" t="str">
        <x:v>TEAM-01</x:v>
      </x:c>
    </x:row>
    <x:row r="387">
      <x:c r="A387" s="50" t="str">
        <x:v>SYN0384</x:v>
      </x:c>
      <x:c r="B387" s="51" t="n">
        <x:v>46043</x:v>
      </x:c>
      <x:c r="C387" s="50" t="str">
        <x:v>Direct</x:v>
      </x:c>
      <x:c r="D387" s="50" t="str">
        <x:v>TEAM-02</x:v>
      </x:c>
    </x:row>
    <x:row r="388">
      <x:c r="A388" s="50" t="str">
        <x:v>SYN0385</x:v>
      </x:c>
      <x:c r="B388" s="51" t="n">
        <x:v>46071</x:v>
      </x:c>
      <x:c r="C388" s="50" t="str">
        <x:v>Direct</x:v>
      </x:c>
      <x:c r="D388" s="50" t="str">
        <x:v>TEAM-03</x:v>
      </x:c>
    </x:row>
    <x:row r="389">
      <x:c r="A389" s="50" t="str">
        <x:v>SYN0386</x:v>
      </x:c>
      <x:c r="B389" s="51" t="n">
        <x:v>46040</x:v>
      </x:c>
      <x:c r="C389" s="50" t="str">
        <x:v>Employer</x:v>
      </x:c>
      <x:c r="D389" s="50" t="str">
        <x:v>TEAM-01</x:v>
      </x:c>
    </x:row>
    <x:row r="390">
      <x:c r="A390" s="50" t="str">
        <x:v>SYN0387</x:v>
      </x:c>
      <x:c r="B390" s="51" t="n">
        <x:v>46164</x:v>
      </x:c>
      <x:c r="C390" s="50" t="str">
        <x:v>Direct</x:v>
      </x:c>
      <x:c r="D390" s="50" t="str">
        <x:v>TEAM-02</x:v>
      </x:c>
    </x:row>
    <x:row r="391">
      <x:c r="A391" s="50" t="str">
        <x:v>SYN0388</x:v>
      </x:c>
      <x:c r="B391" s="51" t="n">
        <x:v>46114</x:v>
      </x:c>
      <x:c r="C391" s="50" t="str">
        <x:v>Direct</x:v>
      </x:c>
      <x:c r="D391" s="50" t="str">
        <x:v>TEAM-01</x:v>
      </x:c>
    </x:row>
    <x:row r="392">
      <x:c r="A392" s="50" t="str">
        <x:v>SYN0389</x:v>
      </x:c>
      <x:c r="B392" s="51" t="n">
        <x:v>46082</x:v>
      </x:c>
      <x:c r="C392" s="50" t="str">
        <x:v>Employer</x:v>
      </x:c>
      <x:c r="D392" s="50" t="str">
        <x:v>TEAM-06</x:v>
      </x:c>
    </x:row>
    <x:row r="393">
      <x:c r="A393" s="50" t="str">
        <x:v>SYN0390</x:v>
      </x:c>
      <x:c r="B393" s="51" t="n">
        <x:v>46261</x:v>
      </x:c>
      <x:c r="C393" s="50" t="str">
        <x:v>Direct</x:v>
      </x:c>
      <x:c r="D393" s="50" t="str">
        <x:v>TEAM-04</x:v>
      </x:c>
    </x:row>
    <x:row r="394">
      <x:c r="A394" s="50" t="str">
        <x:v>SYN0391</x:v>
      </x:c>
      <x:c r="B394" s="51" t="n">
        <x:v>46171</x:v>
      </x:c>
      <x:c r="C394" s="50" t="str">
        <x:v>Direct</x:v>
      </x:c>
      <x:c r="D394" s="50" t="str">
        <x:v>TEAM-02</x:v>
      </x:c>
    </x:row>
    <x:row r="395">
      <x:c r="A395" s="50" t="str">
        <x:v>SYN0392</x:v>
      </x:c>
      <x:c r="B395" s="51" t="n">
        <x:v>46065</x:v>
      </x:c>
      <x:c r="C395" s="50" t="str">
        <x:v>Direct</x:v>
      </x:c>
      <x:c r="D395" s="50" t="str">
        <x:v>TEAM-06</x:v>
      </x:c>
    </x:row>
    <x:row r="396">
      <x:c r="A396" s="50" t="str">
        <x:v>SYN0393</x:v>
      </x:c>
      <x:c r="B396" s="51" t="n">
        <x:v>46259</x:v>
      </x:c>
      <x:c r="C396" s="50" t="str">
        <x:v>Direct</x:v>
      </x:c>
      <x:c r="D396" s="50" t="str">
        <x:v>TEAM-03</x:v>
      </x:c>
    </x:row>
    <x:row r="397">
      <x:c r="A397" s="50" t="str">
        <x:v>SYN0394</x:v>
      </x:c>
      <x:c r="B397" s="51" t="n">
        <x:v>46256</x:v>
      </x:c>
      <x:c r="C397" s="50" t="str">
        <x:v>Direct</x:v>
      </x:c>
      <x:c r="D397" s="50" t="str">
        <x:v>TEAM-05</x:v>
      </x:c>
    </x:row>
    <x:row r="398">
      <x:c r="A398" s="50" t="str">
        <x:v>SYN0395</x:v>
      </x:c>
      <x:c r="B398" s="51" t="n">
        <x:v>46039</x:v>
      </x:c>
      <x:c r="C398" s="50" t="str">
        <x:v>Direct</x:v>
      </x:c>
      <x:c r="D398" s="50" t="str">
        <x:v>TEAM-04</x:v>
      </x:c>
    </x:row>
    <x:row r="399">
      <x:c r="A399" s="50" t="str">
        <x:v>SYN0396</x:v>
      </x:c>
      <x:c r="B399" s="51" t="n">
        <x:v>46204</x:v>
      </x:c>
      <x:c r="C399" s="50" t="str">
        <x:v>Direct</x:v>
      </x:c>
      <x:c r="D399" s="50" t="str">
        <x:v>TEAM-01</x:v>
      </x:c>
    </x:row>
    <x:row r="400">
      <x:c r="A400" s="50" t="str">
        <x:v>SYN0397</x:v>
      </x:c>
      <x:c r="B400" s="51" t="n">
        <x:v>46167</x:v>
      </x:c>
      <x:c r="C400" s="50" t="str">
        <x:v>Direct</x:v>
      </x:c>
      <x:c r="D400" s="50" t="str">
        <x:v>TEAM-05</x:v>
      </x:c>
    </x:row>
    <x:row r="401">
      <x:c r="A401" s="50" t="str">
        <x:v>SYN0398</x:v>
      </x:c>
      <x:c r="B401" s="51" t="n">
        <x:v>46258</x:v>
      </x:c>
      <x:c r="C401" s="50" t="str">
        <x:v>Direct</x:v>
      </x:c>
      <x:c r="D401" s="50" t="str">
        <x:v>TEAM-04</x:v>
      </x:c>
    </x:row>
    <x:row r="402">
      <x:c r="A402" s="50" t="str">
        <x:v>SYN0399</x:v>
      </x:c>
      <x:c r="B402" s="51" t="n">
        <x:v>46172</x:v>
      </x:c>
      <x:c r="C402" s="50" t="str">
        <x:v>Direct</x:v>
      </x:c>
      <x:c r="D402" s="50" t="str">
        <x:v>TEAM-03</x:v>
      </x:c>
    </x:row>
    <x:row r="403">
      <x:c r="A403" s="50" t="str">
        <x:v>SYN0400</x:v>
      </x:c>
      <x:c r="B403" s="51" t="n">
        <x:v>46250</x:v>
      </x:c>
      <x:c r="C403" s="50" t="str">
        <x:v>Direct</x:v>
      </x:c>
      <x:c r="D403" s="50" t="str">
        <x:v>TEAM-05</x:v>
      </x:c>
    </x:row>
    <x:row r="404">
      <x:c r="A404" s="50" t="str">
        <x:v>SYN0401</x:v>
      </x:c>
      <x:c r="B404" s="51" t="n">
        <x:v>46145</x:v>
      </x:c>
      <x:c r="C404" s="50" t="str">
        <x:v>Direct</x:v>
      </x:c>
      <x:c r="D404" s="50" t="str">
        <x:v>TEAM-02</x:v>
      </x:c>
    </x:row>
    <x:row r="405">
      <x:c r="A405" s="50" t="str">
        <x:v>SYN0402</x:v>
      </x:c>
      <x:c r="B405" s="51" t="n">
        <x:v>46099</x:v>
      </x:c>
      <x:c r="C405" s="50" t="str">
        <x:v>Direct</x:v>
      </x:c>
      <x:c r="D405" s="50" t="str">
        <x:v>TEAM-05</x:v>
      </x:c>
    </x:row>
    <x:row r="406">
      <x:c r="A406" s="50" t="str">
        <x:v>SYN0403</x:v>
      </x:c>
      <x:c r="B406" s="51" t="n">
        <x:v>46259</x:v>
      </x:c>
      <x:c r="C406" s="50" t="str">
        <x:v>Direct</x:v>
      </x:c>
      <x:c r="D406" s="50" t="str">
        <x:v>TEAM-05</x:v>
      </x:c>
    </x:row>
    <x:row r="407">
      <x:c r="A407" s="50" t="str">
        <x:v>SYN0404</x:v>
      </x:c>
      <x:c r="B407" s="51" t="n">
        <x:v>46247</x:v>
      </x:c>
      <x:c r="C407" s="50" t="str">
        <x:v>Direct</x:v>
      </x:c>
      <x:c r="D407" s="50" t="str">
        <x:v>TEAM-01</x:v>
      </x:c>
    </x:row>
    <x:row r="408">
      <x:c r="A408" s="50" t="str">
        <x:v>SYN0405</x:v>
      </x:c>
      <x:c r="B408" s="51" t="n">
        <x:v>46063</x:v>
      </x:c>
      <x:c r="C408" s="50" t="str">
        <x:v>Employer</x:v>
      </x:c>
      <x:c r="D408" s="50" t="str">
        <x:v>TEAM-02</x:v>
      </x:c>
    </x:row>
    <x:row r="409">
      <x:c r="A409" s="50" t="str">
        <x:v>SYN0406</x:v>
      </x:c>
      <x:c r="B409" s="51" t="n">
        <x:v>46118</x:v>
      </x:c>
      <x:c r="C409" s="50" t="str">
        <x:v>Direct</x:v>
      </x:c>
      <x:c r="D409" s="50" t="str">
        <x:v>TEAM-01</x:v>
      </x:c>
    </x:row>
    <x:row r="410">
      <x:c r="A410" s="50" t="str">
        <x:v>SYN0407</x:v>
      </x:c>
      <x:c r="B410" s="51" t="n">
        <x:v>46237</x:v>
      </x:c>
      <x:c r="C410" s="50" t="str">
        <x:v>Direct</x:v>
      </x:c>
      <x:c r="D410" s="50" t="str">
        <x:v>TEAM-05</x:v>
      </x:c>
    </x:row>
    <x:row r="411">
      <x:c r="A411" s="50" t="str">
        <x:v>SYN0408</x:v>
      </x:c>
      <x:c r="B411" s="51" t="n">
        <x:v>46113</x:v>
      </x:c>
      <x:c r="C411" s="50" t="str">
        <x:v>Direct</x:v>
      </x:c>
      <x:c r="D411" s="50" t="str">
        <x:v>TEAM-04</x:v>
      </x:c>
    </x:row>
    <x:row r="412">
      <x:c r="A412" s="50" t="str">
        <x:v>SYN0409</x:v>
      </x:c>
      <x:c r="B412" s="51" t="n">
        <x:v>46027</x:v>
      </x:c>
      <x:c r="C412" s="50" t="str">
        <x:v>Direct</x:v>
      </x:c>
      <x:c r="D412" s="50" t="str">
        <x:v>TEAM-06</x:v>
      </x:c>
    </x:row>
    <x:row r="413">
      <x:c r="A413" s="50" t="str">
        <x:v>SYN0410</x:v>
      </x:c>
      <x:c r="B413" s="51" t="n">
        <x:v>46216</x:v>
      </x:c>
      <x:c r="C413" s="50" t="str">
        <x:v>Direct</x:v>
      </x:c>
      <x:c r="D413" s="50" t="str">
        <x:v>TEAM-01</x:v>
      </x:c>
    </x:row>
    <x:row r="414">
      <x:c r="A414" s="50" t="str">
        <x:v>SYN0411</x:v>
      </x:c>
      <x:c r="B414" s="51" t="n">
        <x:v>46071</x:v>
      </x:c>
      <x:c r="C414" s="50" t="str">
        <x:v>Direct</x:v>
      </x:c>
      <x:c r="D414" s="50" t="str">
        <x:v>TEAM-03</x:v>
      </x:c>
    </x:row>
    <x:row r="415">
      <x:c r="A415" s="50" t="str">
        <x:v>SYN0412</x:v>
      </x:c>
      <x:c r="B415" s="51" t="n">
        <x:v>46221</x:v>
      </x:c>
      <x:c r="C415" s="50" t="str">
        <x:v>Direct</x:v>
      </x:c>
      <x:c r="D415" s="50" t="str">
        <x:v>TEAM-04</x:v>
      </x:c>
    </x:row>
    <x:row r="416">
      <x:c r="A416" s="50" t="str">
        <x:v>SYN0413</x:v>
      </x:c>
      <x:c r="B416" s="51" t="n">
        <x:v>46166</x:v>
      </x:c>
      <x:c r="C416" s="50" t="str">
        <x:v>Direct</x:v>
      </x:c>
      <x:c r="D416" s="50" t="str">
        <x:v>TEAM-04</x:v>
      </x:c>
    </x:row>
    <x:row r="417">
      <x:c r="A417" s="50" t="str">
        <x:v>SYN0414</x:v>
      </x:c>
      <x:c r="B417" s="51" t="n">
        <x:v>46217</x:v>
      </x:c>
      <x:c r="C417" s="50" t="str">
        <x:v>Direct</x:v>
      </x:c>
      <x:c r="D417" s="50" t="str">
        <x:v>TEAM-03</x:v>
      </x:c>
    </x:row>
    <x:row r="418">
      <x:c r="A418" s="50" t="str">
        <x:v>SYN0415</x:v>
      </x:c>
      <x:c r="B418" s="51" t="n">
        <x:v>46208</x:v>
      </x:c>
      <x:c r="C418" s="50" t="str">
        <x:v>Direct</x:v>
      </x:c>
      <x:c r="D418" s="50" t="str">
        <x:v>TEAM-06</x:v>
      </x:c>
    </x:row>
    <x:row r="419">
      <x:c r="A419" s="50" t="str">
        <x:v>SYN0416</x:v>
      </x:c>
      <x:c r="B419" s="51" t="n">
        <x:v>46033</x:v>
      </x:c>
      <x:c r="C419" s="50" t="str">
        <x:v>Direct</x:v>
      </x:c>
      <x:c r="D419" s="50" t="str">
        <x:v>TEAM-05</x:v>
      </x:c>
    </x:row>
    <x:row r="420">
      <x:c r="A420" s="50" t="str">
        <x:v>SYN0417</x:v>
      </x:c>
      <x:c r="B420" s="51" t="n">
        <x:v>46251</x:v>
      </x:c>
      <x:c r="C420" s="50" t="str">
        <x:v>Direct</x:v>
      </x:c>
      <x:c r="D420" s="50" t="str">
        <x:v>TEAM-04</x:v>
      </x:c>
    </x:row>
    <x:row r="421">
      <x:c r="A421" s="50" t="str">
        <x:v>SYN0418</x:v>
      </x:c>
      <x:c r="B421" s="51" t="n">
        <x:v>46260</x:v>
      </x:c>
      <x:c r="C421" s="50" t="str">
        <x:v>Employer</x:v>
      </x:c>
      <x:c r="D421" s="50" t="str">
        <x:v>TEAM-04</x:v>
      </x:c>
    </x:row>
    <x:row r="422">
      <x:c r="A422" s="50" t="str">
        <x:v>SYN0419</x:v>
      </x:c>
      <x:c r="B422" s="51" t="n">
        <x:v>46242</x:v>
      </x:c>
      <x:c r="C422" s="50" t="str">
        <x:v>Direct</x:v>
      </x:c>
      <x:c r="D422" s="50" t="str">
        <x:v>TEAM-01</x:v>
      </x:c>
    </x:row>
    <x:row r="423">
      <x:c r="A423" s="50" t="str">
        <x:v>SYN0420</x:v>
      </x:c>
      <x:c r="B423" s="51" t="n">
        <x:v>46238</x:v>
      </x:c>
      <x:c r="C423" s="50" t="str">
        <x:v>Direct</x:v>
      </x:c>
      <x:c r="D423" s="50" t="str">
        <x:v>TEAM-04</x:v>
      </x:c>
    </x:row>
    <x:row r="424">
      <x:c r="A424" s="50" t="str">
        <x:v>SYN0421</x:v>
      </x:c>
      <x:c r="B424" s="51" t="n">
        <x:v>46238</x:v>
      </x:c>
      <x:c r="C424" s="50" t="str">
        <x:v>Employer</x:v>
      </x:c>
      <x:c r="D424" s="50" t="str">
        <x:v>TEAM-03</x:v>
      </x:c>
    </x:row>
    <x:row r="425">
      <x:c r="A425" s="50" t="str">
        <x:v>SYN0422</x:v>
      </x:c>
      <x:c r="B425" s="51" t="n">
        <x:v>46220</x:v>
      </x:c>
      <x:c r="C425" s="50" t="str">
        <x:v>Direct</x:v>
      </x:c>
      <x:c r="D425" s="50" t="str">
        <x:v>TEAM-05</x:v>
      </x:c>
    </x:row>
    <x:row r="426">
      <x:c r="A426" s="50" t="str">
        <x:v>SYN0423</x:v>
      </x:c>
      <x:c r="B426" s="51" t="n">
        <x:v>46115</x:v>
      </x:c>
      <x:c r="C426" s="50" t="str">
        <x:v>Direct</x:v>
      </x:c>
      <x:c r="D426" s="50" t="str">
        <x:v>TEAM-03</x:v>
      </x:c>
    </x:row>
    <x:row r="427">
      <x:c r="A427" s="50" t="str">
        <x:v>SYN0424</x:v>
      </x:c>
      <x:c r="B427" s="51" t="n">
        <x:v>46242</x:v>
      </x:c>
      <x:c r="C427" s="50" t="str">
        <x:v>Direct</x:v>
      </x:c>
      <x:c r="D427" s="50" t="str">
        <x:v>TEAM-04</x:v>
      </x:c>
    </x:row>
    <x:row r="428">
      <x:c r="A428" s="50" t="str">
        <x:v>SYN0425</x:v>
      </x:c>
      <x:c r="B428" s="51" t="n">
        <x:v>46157</x:v>
      </x:c>
      <x:c r="C428" s="50" t="str">
        <x:v>Direct</x:v>
      </x:c>
      <x:c r="D428" s="50" t="str">
        <x:v>TEAM-01</x:v>
      </x:c>
    </x:row>
    <x:row r="429">
      <x:c r="A429" s="50" t="str">
        <x:v>SYN0426</x:v>
      </x:c>
      <x:c r="B429" s="51" t="n">
        <x:v>46243</x:v>
      </x:c>
      <x:c r="C429" s="50" t="str">
        <x:v>Employer</x:v>
      </x:c>
      <x:c r="D429" s="50" t="str">
        <x:v>TEAM-06</x:v>
      </x:c>
    </x:row>
    <x:row r="430">
      <x:c r="A430" s="50" t="str">
        <x:v>SYN0427</x:v>
      </x:c>
      <x:c r="B430" s="51" t="n">
        <x:v>46114</x:v>
      </x:c>
      <x:c r="C430" s="50" t="str">
        <x:v>Direct</x:v>
      </x:c>
      <x:c r="D430" s="50" t="str">
        <x:v>TEAM-06</x:v>
      </x:c>
    </x:row>
    <x:row r="431">
      <x:c r="A431" s="50" t="str">
        <x:v>SYN0428</x:v>
      </x:c>
      <x:c r="B431" s="51" t="n">
        <x:v>46152</x:v>
      </x:c>
      <x:c r="C431" s="50" t="str">
        <x:v>Direct</x:v>
      </x:c>
      <x:c r="D431" s="50" t="str">
        <x:v>TEAM-03</x:v>
      </x:c>
    </x:row>
    <x:row r="432">
      <x:c r="A432" s="50" t="str">
        <x:v>SYN0429</x:v>
      </x:c>
      <x:c r="B432" s="51" t="n">
        <x:v>46262</x:v>
      </x:c>
      <x:c r="C432" s="50" t="str">
        <x:v>Employer</x:v>
      </x:c>
      <x:c r="D432" s="50" t="str">
        <x:v>TEAM-04</x:v>
      </x:c>
    </x:row>
    <x:row r="433">
      <x:c r="A433" s="50" t="str">
        <x:v>SYN0430</x:v>
      </x:c>
      <x:c r="B433" s="51" t="n">
        <x:v>46227</x:v>
      </x:c>
      <x:c r="C433" s="50" t="str">
        <x:v>Direct</x:v>
      </x:c>
      <x:c r="D433" s="50" t="str">
        <x:v>TEAM-06</x:v>
      </x:c>
    </x:row>
    <x:row r="434">
      <x:c r="A434" s="50" t="str">
        <x:v>SYN0431</x:v>
      </x:c>
      <x:c r="B434" s="51" t="n">
        <x:v>46186</x:v>
      </x:c>
      <x:c r="C434" s="50" t="str">
        <x:v>Direct</x:v>
      </x:c>
      <x:c r="D434" s="50" t="str">
        <x:v>TEAM-03</x:v>
      </x:c>
    </x:row>
    <x:row r="435">
      <x:c r="A435" s="50" t="str">
        <x:v>SYN0432</x:v>
      </x:c>
      <x:c r="B435" s="51" t="n">
        <x:v>46212</x:v>
      </x:c>
      <x:c r="C435" s="50" t="str">
        <x:v>Direct</x:v>
      </x:c>
      <x:c r="D435" s="50" t="str">
        <x:v>TEAM-02</x:v>
      </x:c>
    </x:row>
    <x:row r="436">
      <x:c r="A436" s="50" t="str">
        <x:v>SYN0433</x:v>
      </x:c>
      <x:c r="B436" s="51" t="n">
        <x:v>46171</x:v>
      </x:c>
      <x:c r="C436" s="50" t="str">
        <x:v>Direct</x:v>
      </x:c>
      <x:c r="D436" s="50" t="str">
        <x:v>TEAM-05</x:v>
      </x:c>
    </x:row>
    <x:row r="437">
      <x:c r="A437" s="50" t="str">
        <x:v>SYN0434</x:v>
      </x:c>
      <x:c r="B437" s="51" t="n">
        <x:v>46172</x:v>
      </x:c>
      <x:c r="C437" s="50" t="str">
        <x:v>Employer</x:v>
      </x:c>
      <x:c r="D437" s="50" t="str">
        <x:v>TEAM-02</x:v>
      </x:c>
    </x:row>
    <x:row r="438">
      <x:c r="A438" s="50" t="str">
        <x:v>SYN0435</x:v>
      </x:c>
      <x:c r="B438" s="51" t="n">
        <x:v>46244</x:v>
      </x:c>
      <x:c r="C438" s="50" t="str">
        <x:v>Direct</x:v>
      </x:c>
      <x:c r="D438" s="50" t="str">
        <x:v>TEAM-01</x:v>
      </x:c>
    </x:row>
    <x:row r="439">
      <x:c r="A439" s="50" t="str">
        <x:v>SYN0436</x:v>
      </x:c>
      <x:c r="B439" s="51" t="n">
        <x:v>46139</x:v>
      </x:c>
      <x:c r="C439" s="50" t="str">
        <x:v>Direct</x:v>
      </x:c>
      <x:c r="D439" s="50" t="str">
        <x:v>TEAM-04</x:v>
      </x:c>
    </x:row>
    <x:row r="440">
      <x:c r="A440" s="50" t="str">
        <x:v>SYN0437</x:v>
      </x:c>
      <x:c r="B440" s="51" t="n">
        <x:v>46054</x:v>
      </x:c>
      <x:c r="C440" s="50" t="str">
        <x:v>Direct</x:v>
      </x:c>
      <x:c r="D440" s="50" t="str">
        <x:v>TEAM-05</x:v>
      </x:c>
    </x:row>
    <x:row r="441">
      <x:c r="A441" s="50" t="str">
        <x:v>SYN0438</x:v>
      </x:c>
      <x:c r="B441" s="51" t="n">
        <x:v>46187</x:v>
      </x:c>
      <x:c r="C441" s="50" t="str">
        <x:v>Employer</x:v>
      </x:c>
      <x:c r="D441" s="50" t="str">
        <x:v>TEAM-04</x:v>
      </x:c>
    </x:row>
    <x:row r="442">
      <x:c r="A442" s="50" t="str">
        <x:v>SYN0439</x:v>
      </x:c>
      <x:c r="B442" s="51" t="n">
        <x:v>46143</x:v>
      </x:c>
      <x:c r="C442" s="50" t="str">
        <x:v>Direct</x:v>
      </x:c>
      <x:c r="D442" s="50" t="str">
        <x:v>TEAM-06</x:v>
      </x:c>
    </x:row>
    <x:row r="443">
      <x:c r="A443" s="50" t="str">
        <x:v>SYN0440</x:v>
      </x:c>
      <x:c r="B443" s="51" t="n">
        <x:v>46136</x:v>
      </x:c>
      <x:c r="C443" s="50" t="str">
        <x:v>Direct</x:v>
      </x:c>
      <x:c r="D443" s="50" t="str">
        <x:v>TEAM-02</x:v>
      </x:c>
    </x:row>
    <x:row r="444">
      <x:c r="A444" s="50" t="str">
        <x:v>SYN0441</x:v>
      </x:c>
      <x:c r="B444" s="51" t="n">
        <x:v>46197</x:v>
      </x:c>
      <x:c r="C444" s="50" t="str">
        <x:v>Direct</x:v>
      </x:c>
      <x:c r="D444" s="50" t="str">
        <x:v>TEAM-01</x:v>
      </x:c>
    </x:row>
    <x:row r="445">
      <x:c r="A445" s="50" t="str">
        <x:v>SYN0442</x:v>
      </x:c>
      <x:c r="B445" s="51" t="n">
        <x:v>46209</x:v>
      </x:c>
      <x:c r="C445" s="50" t="str">
        <x:v>Direct</x:v>
      </x:c>
      <x:c r="D445" s="50" t="str">
        <x:v>TEAM-01</x:v>
      </x:c>
    </x:row>
    <x:row r="446">
      <x:c r="A446" s="50" t="str">
        <x:v>SYN0443</x:v>
      </x:c>
      <x:c r="B446" s="51" t="n">
        <x:v>46264</x:v>
      </x:c>
      <x:c r="C446" s="50" t="str">
        <x:v>Employer</x:v>
      </x:c>
      <x:c r="D446" s="50" t="str">
        <x:v>TEAM-06</x:v>
      </x:c>
    </x:row>
    <x:row r="447">
      <x:c r="A447" s="50" t="str">
        <x:v>SYN0444</x:v>
      </x:c>
      <x:c r="B447" s="51" t="n">
        <x:v>46128</x:v>
      </x:c>
      <x:c r="C447" s="50" t="str">
        <x:v>Direct</x:v>
      </x:c>
      <x:c r="D447" s="50" t="str">
        <x:v>TEAM-05</x:v>
      </x:c>
    </x:row>
    <x:row r="448">
      <x:c r="A448" s="50" t="str">
        <x:v>SYN0445</x:v>
      </x:c>
      <x:c r="B448" s="51" t="n">
        <x:v>46086</x:v>
      </x:c>
      <x:c r="C448" s="50" t="str">
        <x:v>Direct</x:v>
      </x:c>
      <x:c r="D448" s="50" t="str">
        <x:v>TEAM-04</x:v>
      </x:c>
    </x:row>
    <x:row r="449">
      <x:c r="A449" s="50" t="str">
        <x:v>SYN0446</x:v>
      </x:c>
      <x:c r="B449" s="51" t="n">
        <x:v>46155</x:v>
      </x:c>
      <x:c r="C449" s="50" t="str">
        <x:v>Direct</x:v>
      </x:c>
      <x:c r="D449" s="50" t="str">
        <x:v>TEAM-02</x:v>
      </x:c>
    </x:row>
    <x:row r="450">
      <x:c r="A450" s="50" t="str">
        <x:v>SYN0447</x:v>
      </x:c>
      <x:c r="B450" s="51" t="n">
        <x:v>46183</x:v>
      </x:c>
      <x:c r="C450" s="50" t="str">
        <x:v>Direct</x:v>
      </x:c>
      <x:c r="D450" s="50" t="str">
        <x:v>TEAM-05</x:v>
      </x:c>
    </x:row>
    <x:row r="451">
      <x:c r="A451" s="50" t="str">
        <x:v>SYN0448</x:v>
      </x:c>
      <x:c r="B451" s="51" t="n">
        <x:v>46071</x:v>
      </x:c>
      <x:c r="C451" s="50" t="str">
        <x:v>Direct</x:v>
      </x:c>
      <x:c r="D451" s="50" t="str">
        <x:v>TEAM-04</x:v>
      </x:c>
    </x:row>
    <x:row r="452">
      <x:c r="A452" s="50" t="str">
        <x:v>SYN0449</x:v>
      </x:c>
      <x:c r="B452" s="51" t="n">
        <x:v>46088</x:v>
      </x:c>
      <x:c r="C452" s="50" t="str">
        <x:v>Direct</x:v>
      </x:c>
      <x:c r="D452" s="50" t="str">
        <x:v>TEAM-04</x:v>
      </x:c>
    </x:row>
    <x:row r="453">
      <x:c r="A453" s="50" t="str">
        <x:v>SYN0450</x:v>
      </x:c>
      <x:c r="B453" s="51" t="n">
        <x:v>46227</x:v>
      </x:c>
      <x:c r="C453" s="50" t="str">
        <x:v>Direct</x:v>
      </x:c>
      <x:c r="D453" s="50" t="str">
        <x:v>TEAM-02</x:v>
      </x:c>
    </x:row>
    <x:row r="454">
      <x:c r="A454" s="50" t="str">
        <x:v>SYN0451</x:v>
      </x:c>
      <x:c r="B454" s="51" t="n">
        <x:v>46206</x:v>
      </x:c>
      <x:c r="C454" s="50" t="str">
        <x:v>Direct</x:v>
      </x:c>
      <x:c r="D454" s="50" t="str">
        <x:v>TEAM-05</x:v>
      </x:c>
    </x:row>
    <x:row r="455">
      <x:c r="A455" s="50" t="str">
        <x:v>SYN0452</x:v>
      </x:c>
      <x:c r="B455" s="51" t="n">
        <x:v>46076</x:v>
      </x:c>
      <x:c r="C455" s="50" t="str">
        <x:v>Direct</x:v>
      </x:c>
      <x:c r="D455" s="50" t="str">
        <x:v>TEAM-05</x:v>
      </x:c>
    </x:row>
    <x:row r="456">
      <x:c r="A456" s="50" t="str">
        <x:v>SYN0453</x:v>
      </x:c>
      <x:c r="B456" s="51" t="n">
        <x:v>46146</x:v>
      </x:c>
      <x:c r="C456" s="50" t="str">
        <x:v>Direct</x:v>
      </x:c>
      <x:c r="D456" s="50" t="str">
        <x:v>TEAM-03</x:v>
      </x:c>
    </x:row>
    <x:row r="457">
      <x:c r="A457" s="50" t="str">
        <x:v>SYN0454</x:v>
      </x:c>
      <x:c r="B457" s="51" t="n">
        <x:v>46155</x:v>
      </x:c>
      <x:c r="C457" s="50" t="str">
        <x:v>Direct</x:v>
      </x:c>
      <x:c r="D457" s="50" t="str">
        <x:v>TEAM-03</x:v>
      </x:c>
    </x:row>
    <x:row r="458">
      <x:c r="A458" s="50" t="str">
        <x:v>SYN0455</x:v>
      </x:c>
      <x:c r="B458" s="51" t="n">
        <x:v>46251</x:v>
      </x:c>
      <x:c r="C458" s="50" t="str">
        <x:v>Direct</x:v>
      </x:c>
      <x:c r="D458" s="50" t="str">
        <x:v>TEAM-03</x:v>
      </x:c>
    </x:row>
    <x:row r="459">
      <x:c r="A459" s="50" t="str">
        <x:v>SYN0456</x:v>
      </x:c>
      <x:c r="B459" s="51" t="n">
        <x:v>46171</x:v>
      </x:c>
      <x:c r="C459" s="50" t="str">
        <x:v>Direct</x:v>
      </x:c>
      <x:c r="D459" s="50" t="str">
        <x:v>TEAM-03</x:v>
      </x:c>
    </x:row>
    <x:row r="460">
      <x:c r="A460" s="50" t="str">
        <x:v>SYN0457</x:v>
      </x:c>
      <x:c r="B460" s="51" t="n">
        <x:v>46202</x:v>
      </x:c>
      <x:c r="C460" s="50" t="str">
        <x:v>Direct</x:v>
      </x:c>
      <x:c r="D460" s="50" t="str">
        <x:v>TEAM-04</x:v>
      </x:c>
    </x:row>
    <x:row r="461">
      <x:c r="A461" s="50" t="str">
        <x:v>SYN0458</x:v>
      </x:c>
      <x:c r="B461" s="51" t="n">
        <x:v>46044</x:v>
      </x:c>
      <x:c r="C461" s="50" t="str">
        <x:v>Direct</x:v>
      </x:c>
      <x:c r="D461" s="50" t="str">
        <x:v>TEAM-01</x:v>
      </x:c>
    </x:row>
    <x:row r="462">
      <x:c r="A462" s="50" t="str">
        <x:v>SYN0459</x:v>
      </x:c>
      <x:c r="B462" s="51" t="n">
        <x:v>46043</x:v>
      </x:c>
      <x:c r="C462" s="50" t="str">
        <x:v>Employer</x:v>
      </x:c>
      <x:c r="D462" s="50" t="str">
        <x:v>TEAM-01</x:v>
      </x:c>
    </x:row>
    <x:row r="463">
      <x:c r="A463" s="50" t="str">
        <x:v>SYN0460</x:v>
      </x:c>
      <x:c r="B463" s="51" t="n">
        <x:v>46197</x:v>
      </x:c>
      <x:c r="C463" s="50" t="str">
        <x:v>Direct</x:v>
      </x:c>
      <x:c r="D463" s="50" t="str">
        <x:v>TEAM-02</x:v>
      </x:c>
    </x:row>
    <x:row r="464">
      <x:c r="A464" s="50" t="str">
        <x:v>SYN0461</x:v>
      </x:c>
      <x:c r="B464" s="51" t="n">
        <x:v>46263</x:v>
      </x:c>
      <x:c r="C464" s="50" t="str">
        <x:v>Direct</x:v>
      </x:c>
      <x:c r="D464" s="50" t="str">
        <x:v>TEAM-06</x:v>
      </x:c>
    </x:row>
    <x:row r="465">
      <x:c r="A465" s="50" t="str">
        <x:v>SYN0462</x:v>
      </x:c>
      <x:c r="B465" s="51" t="n">
        <x:v>46192</x:v>
      </x:c>
      <x:c r="C465" s="50" t="str">
        <x:v>Direct</x:v>
      </x:c>
      <x:c r="D465" s="50" t="str">
        <x:v>TEAM-01</x:v>
      </x:c>
    </x:row>
    <x:row r="466">
      <x:c r="A466" s="50" t="str">
        <x:v>SYN0463</x:v>
      </x:c>
      <x:c r="B466" s="51" t="n">
        <x:v>46198</x:v>
      </x:c>
      <x:c r="C466" s="50" t="str">
        <x:v>Employer</x:v>
      </x:c>
      <x:c r="D466" s="50" t="str">
        <x:v>TEAM-02</x:v>
      </x:c>
    </x:row>
    <x:row r="467">
      <x:c r="A467" s="50" t="str">
        <x:v>SYN0464</x:v>
      </x:c>
      <x:c r="B467" s="51" t="n">
        <x:v>46181</x:v>
      </x:c>
      <x:c r="C467" s="50" t="str">
        <x:v>Direct</x:v>
      </x:c>
      <x:c r="D467" s="50" t="str">
        <x:v>TEAM-01</x:v>
      </x:c>
    </x:row>
    <x:row r="468">
      <x:c r="A468" s="50" t="str">
        <x:v>SYN0465</x:v>
      </x:c>
      <x:c r="B468" s="51" t="n">
        <x:v>46253</x:v>
      </x:c>
      <x:c r="C468" s="50" t="str">
        <x:v>Direct</x:v>
      </x:c>
      <x:c r="D468" s="50" t="str">
        <x:v>TEAM-06</x:v>
      </x:c>
    </x:row>
    <x:row r="469">
      <x:c r="A469" s="50" t="str">
        <x:v>SYN0466</x:v>
      </x:c>
      <x:c r="B469" s="51" t="n">
        <x:v>46035</x:v>
      </x:c>
      <x:c r="C469" s="50" t="str">
        <x:v>Employer</x:v>
      </x:c>
      <x:c r="D469" s="50" t="str">
        <x:v>TEAM-06</x:v>
      </x:c>
    </x:row>
    <x:row r="470">
      <x:c r="A470" s="50" t="str">
        <x:v>SYN0467</x:v>
      </x:c>
      <x:c r="B470" s="51" t="n">
        <x:v>46253</x:v>
      </x:c>
      <x:c r="C470" s="50" t="str">
        <x:v>Employer</x:v>
      </x:c>
      <x:c r="D470" s="50" t="str">
        <x:v>TEAM-01</x:v>
      </x:c>
    </x:row>
    <x:row r="471">
      <x:c r="A471" s="50" t="str">
        <x:v>SYN0468</x:v>
      </x:c>
      <x:c r="B471" s="51" t="n">
        <x:v>46134</x:v>
      </x:c>
      <x:c r="C471" s="50" t="str">
        <x:v>Employer</x:v>
      </x:c>
      <x:c r="D471" s="50" t="str">
        <x:v>TEAM-05</x:v>
      </x:c>
    </x:row>
    <x:row r="472">
      <x:c r="A472" s="50" t="str">
        <x:v>SYN0469</x:v>
      </x:c>
      <x:c r="B472" s="51" t="n">
        <x:v>46064</x:v>
      </x:c>
      <x:c r="C472" s="50" t="str">
        <x:v>Employer</x:v>
      </x:c>
      <x:c r="D472" s="50" t="str">
        <x:v>TEAM-02</x:v>
      </x:c>
    </x:row>
    <x:row r="473">
      <x:c r="A473" s="50" t="str">
        <x:v>SYN0470</x:v>
      </x:c>
      <x:c r="B473" s="51" t="n">
        <x:v>46200</x:v>
      </x:c>
      <x:c r="C473" s="50" t="str">
        <x:v>Direct</x:v>
      </x:c>
      <x:c r="D473" s="50" t="str">
        <x:v>TEAM-04</x:v>
      </x:c>
    </x:row>
    <x:row r="474">
      <x:c r="A474" s="50" t="str">
        <x:v>SYN0471</x:v>
      </x:c>
      <x:c r="B474" s="51" t="n">
        <x:v>46225</x:v>
      </x:c>
      <x:c r="C474" s="50" t="str">
        <x:v>Employer</x:v>
      </x:c>
      <x:c r="D474" s="50" t="str">
        <x:v>TEAM-01</x:v>
      </x:c>
    </x:row>
    <x:row r="475">
      <x:c r="A475" s="50" t="str">
        <x:v>SYN0472</x:v>
      </x:c>
      <x:c r="B475" s="51" t="n">
        <x:v>46128</x:v>
      </x:c>
      <x:c r="C475" s="50" t="str">
        <x:v>Direct</x:v>
      </x:c>
      <x:c r="D475" s="50" t="str">
        <x:v>TEAM-05</x:v>
      </x:c>
    </x:row>
    <x:row r="476">
      <x:c r="A476" s="50" t="str">
        <x:v>SYN0473</x:v>
      </x:c>
      <x:c r="B476" s="51" t="n">
        <x:v>46108</x:v>
      </x:c>
      <x:c r="C476" s="50" t="str">
        <x:v>Direct</x:v>
      </x:c>
      <x:c r="D476" s="50" t="str">
        <x:v>TEAM-03</x:v>
      </x:c>
    </x:row>
    <x:row r="477">
      <x:c r="A477" s="50" t="str">
        <x:v>SYN0474</x:v>
      </x:c>
      <x:c r="B477" s="51" t="n">
        <x:v>46076</x:v>
      </x:c>
      <x:c r="C477" s="50" t="str">
        <x:v>Direct</x:v>
      </x:c>
      <x:c r="D477" s="50" t="str">
        <x:v>TEAM-05</x:v>
      </x:c>
    </x:row>
    <x:row r="478">
      <x:c r="A478" s="50" t="str">
        <x:v>SYN0475</x:v>
      </x:c>
      <x:c r="B478" s="51" t="n">
        <x:v>46262</x:v>
      </x:c>
      <x:c r="C478" s="50" t="str">
        <x:v>Direct</x:v>
      </x:c>
      <x:c r="D478" s="50" t="str">
        <x:v>TEAM-06</x:v>
      </x:c>
    </x:row>
    <x:row r="479">
      <x:c r="A479" s="50" t="str">
        <x:v>SYN0476</x:v>
      </x:c>
      <x:c r="B479" s="51" t="n">
        <x:v>46094</x:v>
      </x:c>
      <x:c r="C479" s="50" t="str">
        <x:v>Employer</x:v>
      </x:c>
      <x:c r="D479" s="50" t="str">
        <x:v>TEAM-03</x:v>
      </x:c>
    </x:row>
    <x:row r="480">
      <x:c r="A480" s="50" t="str">
        <x:v>SYN0477</x:v>
      </x:c>
      <x:c r="B480" s="51" t="n">
        <x:v>46070</x:v>
      </x:c>
      <x:c r="C480" s="50" t="str">
        <x:v>Direct</x:v>
      </x:c>
      <x:c r="D480" s="50" t="str">
        <x:v>TEAM-04</x:v>
      </x:c>
    </x:row>
    <x:row r="481">
      <x:c r="A481" s="50" t="str">
        <x:v>SYN0478</x:v>
      </x:c>
      <x:c r="B481" s="51" t="n">
        <x:v>46132</x:v>
      </x:c>
      <x:c r="C481" s="50" t="str">
        <x:v>Employer</x:v>
      </x:c>
      <x:c r="D481" s="50" t="str">
        <x:v>TEAM-01</x:v>
      </x:c>
    </x:row>
    <x:row r="482">
      <x:c r="A482" s="50" t="str">
        <x:v>SYN0479</x:v>
      </x:c>
      <x:c r="B482" s="51" t="n">
        <x:v>46038</x:v>
      </x:c>
      <x:c r="C482" s="50" t="str">
        <x:v>Employer</x:v>
      </x:c>
      <x:c r="D482" s="50" t="str">
        <x:v>TEAM-02</x:v>
      </x:c>
    </x:row>
    <x:row r="483">
      <x:c r="A483" s="50" t="str">
        <x:v>SYN0480</x:v>
      </x:c>
      <x:c r="B483" s="51" t="n">
        <x:v>46090</x:v>
      </x:c>
      <x:c r="C483" s="50" t="str">
        <x:v>Direct</x:v>
      </x:c>
      <x:c r="D483" s="50" t="str">
        <x:v>TEAM-02</x:v>
      </x:c>
    </x:row>
    <x:row r="484">
      <x:c r="A484" s="50" t="str">
        <x:v>SYN0481</x:v>
      </x:c>
      <x:c r="B484" s="51" t="n">
        <x:v>46030</x:v>
      </x:c>
      <x:c r="C484" s="50" t="str">
        <x:v>Direct</x:v>
      </x:c>
      <x:c r="D484" s="50" t="str">
        <x:v>TEAM-04</x:v>
      </x:c>
    </x:row>
    <x:row r="485">
      <x:c r="A485" s="50" t="str">
        <x:v>SYN0482</x:v>
      </x:c>
      <x:c r="B485" s="51" t="n">
        <x:v>46075</x:v>
      </x:c>
      <x:c r="C485" s="50" t="str">
        <x:v>Direct</x:v>
      </x:c>
      <x:c r="D485" s="50" t="str">
        <x:v>TEAM-01</x:v>
      </x:c>
    </x:row>
    <x:row r="486">
      <x:c r="A486" s="50" t="str">
        <x:v>SYN0483</x:v>
      </x:c>
      <x:c r="B486" s="51" t="n">
        <x:v>46265</x:v>
      </x:c>
      <x:c r="C486" s="50" t="str">
        <x:v>Direct</x:v>
      </x:c>
      <x:c r="D486" s="50" t="str">
        <x:v>TEAM-03</x:v>
      </x:c>
    </x:row>
    <x:row r="487">
      <x:c r="A487" s="50" t="str">
        <x:v>SYN0484</x:v>
      </x:c>
      <x:c r="B487" s="51" t="n">
        <x:v>46263</x:v>
      </x:c>
      <x:c r="C487" s="50" t="str">
        <x:v>Direct</x:v>
      </x:c>
      <x:c r="D487" s="50" t="str">
        <x:v>TEAM-02</x:v>
      </x:c>
    </x:row>
    <x:row r="488">
      <x:c r="A488" s="50" t="str">
        <x:v>SYN0485</x:v>
      </x:c>
      <x:c r="B488" s="51" t="n">
        <x:v>46139</x:v>
      </x:c>
      <x:c r="C488" s="50" t="str">
        <x:v>Direct</x:v>
      </x:c>
      <x:c r="D488" s="50" t="str">
        <x:v>TEAM-03</x:v>
      </x:c>
    </x:row>
    <x:row r="489">
      <x:c r="A489" s="50" t="str">
        <x:v>SYN0486</x:v>
      </x:c>
      <x:c r="B489" s="51" t="n">
        <x:v>46128</x:v>
      </x:c>
      <x:c r="C489" s="50" t="str">
        <x:v>Employer</x:v>
      </x:c>
      <x:c r="D489" s="50" t="str">
        <x:v>TEAM-04</x:v>
      </x:c>
    </x:row>
    <x:row r="490">
      <x:c r="A490" s="50" t="str">
        <x:v>SYN0487</x:v>
      </x:c>
      <x:c r="B490" s="51" t="n">
        <x:v>46065</x:v>
      </x:c>
      <x:c r="C490" s="50" t="str">
        <x:v>Employer</x:v>
      </x:c>
      <x:c r="D490" s="50" t="str">
        <x:v>TEAM-06</x:v>
      </x:c>
    </x:row>
    <x:row r="491">
      <x:c r="A491" s="50" t="str">
        <x:v>SYN0488</x:v>
      </x:c>
      <x:c r="B491" s="51" t="n">
        <x:v>46160</x:v>
      </x:c>
      <x:c r="C491" s="50" t="str">
        <x:v>Direct</x:v>
      </x:c>
      <x:c r="D491" s="50" t="str">
        <x:v>TEAM-05</x:v>
      </x:c>
    </x:row>
    <x:row r="492">
      <x:c r="A492" s="50" t="str">
        <x:v>SYN0489</x:v>
      </x:c>
      <x:c r="B492" s="51" t="n">
        <x:v>46110</x:v>
      </x:c>
      <x:c r="C492" s="50" t="str">
        <x:v>Direct</x:v>
      </x:c>
      <x:c r="D492" s="50" t="str">
        <x:v>TEAM-04</x:v>
      </x:c>
    </x:row>
    <x:row r="493">
      <x:c r="A493" s="50" t="str">
        <x:v>SYN0490</x:v>
      </x:c>
      <x:c r="B493" s="51" t="n">
        <x:v>46110</x:v>
      </x:c>
      <x:c r="C493" s="50" t="str">
        <x:v>Direct</x:v>
      </x:c>
      <x:c r="D493" s="50" t="str">
        <x:v>TEAM-02</x:v>
      </x:c>
    </x:row>
    <x:row r="494">
      <x:c r="A494" s="50" t="str">
        <x:v>SYN0491</x:v>
      </x:c>
      <x:c r="B494" s="51" t="n">
        <x:v>46130</x:v>
      </x:c>
      <x:c r="C494" s="50" t="str">
        <x:v>Direct</x:v>
      </x:c>
      <x:c r="D494" s="50" t="str">
        <x:v>TEAM-04</x:v>
      </x:c>
    </x:row>
    <x:row r="495">
      <x:c r="A495" s="50" t="str">
        <x:v>SYN0492</x:v>
      </x:c>
      <x:c r="B495" s="51" t="n">
        <x:v>46146</x:v>
      </x:c>
      <x:c r="C495" s="50" t="str">
        <x:v>Direct</x:v>
      </x:c>
      <x:c r="D495" s="50" t="str">
        <x:v>TEAM-01</x:v>
      </x:c>
    </x:row>
    <x:row r="496">
      <x:c r="A496" s="50" t="str">
        <x:v>SYN0493</x:v>
      </x:c>
      <x:c r="B496" s="51" t="n">
        <x:v>46207</x:v>
      </x:c>
      <x:c r="C496" s="50" t="str">
        <x:v>Direct</x:v>
      </x:c>
      <x:c r="D496" s="50" t="str">
        <x:v>TEAM-01</x:v>
      </x:c>
    </x:row>
    <x:row r="497">
      <x:c r="A497" s="50" t="str">
        <x:v>SYN0494</x:v>
      </x:c>
      <x:c r="B497" s="51" t="n">
        <x:v>46106</x:v>
      </x:c>
      <x:c r="C497" s="50" t="str">
        <x:v>Direct</x:v>
      </x:c>
      <x:c r="D497" s="50" t="str">
        <x:v>TEAM-06</x:v>
      </x:c>
    </x:row>
    <x:row r="498">
      <x:c r="A498" s="50" t="str">
        <x:v>SYN0495</x:v>
      </x:c>
      <x:c r="B498" s="51" t="n">
        <x:v>46088</x:v>
      </x:c>
      <x:c r="C498" s="50" t="str">
        <x:v>Direct</x:v>
      </x:c>
      <x:c r="D498" s="50" t="str">
        <x:v>TEAM-05</x:v>
      </x:c>
    </x:row>
    <x:row r="499">
      <x:c r="A499" s="50" t="str">
        <x:v>SYN0496</x:v>
      </x:c>
      <x:c r="B499" s="51" t="n">
        <x:v>46041</x:v>
      </x:c>
      <x:c r="C499" s="50" t="str">
        <x:v>Direct</x:v>
      </x:c>
      <x:c r="D499" s="50" t="str">
        <x:v>TEAM-05</x:v>
      </x:c>
    </x:row>
    <x:row r="500">
      <x:c r="A500" s="50" t="str">
        <x:v>SYN0497</x:v>
      </x:c>
      <x:c r="B500" s="51" t="n">
        <x:v>46241</x:v>
      </x:c>
      <x:c r="C500" s="50" t="str">
        <x:v>Direct</x:v>
      </x:c>
      <x:c r="D500" s="50" t="str">
        <x:v>TEAM-02</x:v>
      </x:c>
    </x:row>
    <x:row r="501">
      <x:c r="A501" s="50" t="str">
        <x:v>SYN0498</x:v>
      </x:c>
      <x:c r="B501" s="51" t="n">
        <x:v>46185</x:v>
      </x:c>
      <x:c r="C501" s="50" t="str">
        <x:v>Employer</x:v>
      </x:c>
      <x:c r="D501" s="50" t="str">
        <x:v>TEAM-04</x:v>
      </x:c>
    </x:row>
    <x:row r="502">
      <x:c r="A502" s="50" t="str">
        <x:v>SYN0499</x:v>
      </x:c>
      <x:c r="B502" s="51" t="n">
        <x:v>46236</x:v>
      </x:c>
      <x:c r="C502" s="50" t="str">
        <x:v>Direct</x:v>
      </x:c>
      <x:c r="D502" s="50" t="str">
        <x:v>TEAM-03</x:v>
      </x:c>
    </x:row>
    <x:row r="503">
      <x:c r="A503" s="50" t="str">
        <x:v>SYN0500</x:v>
      </x:c>
      <x:c r="B503" s="51" t="n">
        <x:v>46076</x:v>
      </x:c>
      <x:c r="C503" s="50" t="str">
        <x:v>Direct</x:v>
      </x:c>
      <x:c r="D503" s="50" t="str">
        <x:v>TEAM-02</x:v>
      </x:c>
    </x:row>
    <x:row r="504">
      <x:c r="A504" s="50" t="str">
        <x:v>SYN0501</x:v>
      </x:c>
      <x:c r="B504" s="51" t="n">
        <x:v>46211</x:v>
      </x:c>
      <x:c r="C504" s="50" t="str">
        <x:v>Direct</x:v>
      </x:c>
      <x:c r="D504" s="50" t="str">
        <x:v>TEAM-06</x:v>
      </x:c>
    </x:row>
    <x:row r="505">
      <x:c r="A505" s="50" t="str">
        <x:v>SYN0502</x:v>
      </x:c>
      <x:c r="B505" s="51" t="n">
        <x:v>46059</x:v>
      </x:c>
      <x:c r="C505" s="50" t="str">
        <x:v>Direct</x:v>
      </x:c>
      <x:c r="D505" s="50" t="str">
        <x:v>TEAM-02</x:v>
      </x:c>
    </x:row>
    <x:row r="506">
      <x:c r="A506" s="50" t="str">
        <x:v>SYN0503</x:v>
      </x:c>
      <x:c r="B506" s="51" t="n">
        <x:v>46068</x:v>
      </x:c>
      <x:c r="C506" s="50" t="str">
        <x:v>Employer</x:v>
      </x:c>
      <x:c r="D506" s="50" t="str">
        <x:v>TEAM-04</x:v>
      </x:c>
    </x:row>
    <x:row r="507">
      <x:c r="A507" s="50" t="str">
        <x:v>SYN0504</x:v>
      </x:c>
      <x:c r="B507" s="51" t="n">
        <x:v>46117</x:v>
      </x:c>
      <x:c r="C507" s="50" t="str">
        <x:v>Direct</x:v>
      </x:c>
      <x:c r="D507" s="50" t="str">
        <x:v>TEAM-04</x:v>
      </x:c>
    </x:row>
    <x:row r="508">
      <x:c r="A508" s="50" t="str">
        <x:v>SYN0505</x:v>
      </x:c>
      <x:c r="B508" s="51" t="n">
        <x:v>46028</x:v>
      </x:c>
      <x:c r="C508" s="50" t="str">
        <x:v>Direct</x:v>
      </x:c>
      <x:c r="D508" s="50" t="str">
        <x:v>TEAM-02</x:v>
      </x:c>
    </x:row>
    <x:row r="509">
      <x:c r="A509" s="50" t="str">
        <x:v>SYN0506</x:v>
      </x:c>
      <x:c r="B509" s="51" t="n">
        <x:v>46044</x:v>
      </x:c>
      <x:c r="C509" s="50" t="str">
        <x:v>Employer</x:v>
      </x:c>
      <x:c r="D509" s="50" t="str">
        <x:v>TEAM-01</x:v>
      </x:c>
    </x:row>
    <x:row r="510">
      <x:c r="A510" s="50" t="str">
        <x:v>SYN0507</x:v>
      </x:c>
      <x:c r="B510" s="51" t="n">
        <x:v>46032</x:v>
      </x:c>
      <x:c r="C510" s="50" t="str">
        <x:v>Direct</x:v>
      </x:c>
      <x:c r="D510" s="50" t="str">
        <x:v>TEAM-02</x:v>
      </x:c>
    </x:row>
    <x:row r="511">
      <x:c r="A511" s="50" t="str">
        <x:v>SYN0508</x:v>
      </x:c>
      <x:c r="B511" s="51" t="n">
        <x:v>46184</x:v>
      </x:c>
      <x:c r="C511" s="50" t="str">
        <x:v>Direct</x:v>
      </x:c>
      <x:c r="D511" s="50" t="str">
        <x:v>TEAM-03</x:v>
      </x:c>
    </x:row>
    <x:row r="512">
      <x:c r="A512" s="50" t="str">
        <x:v>SYN0509</x:v>
      </x:c>
      <x:c r="B512" s="51" t="n">
        <x:v>46025</x:v>
      </x:c>
      <x:c r="C512" s="50" t="str">
        <x:v>Direct</x:v>
      </x:c>
      <x:c r="D512" s="50" t="str">
        <x:v>TEAM-03</x:v>
      </x:c>
    </x:row>
    <x:row r="513">
      <x:c r="A513" s="50" t="str">
        <x:v>SYN0510</x:v>
      </x:c>
      <x:c r="B513" s="51" t="n">
        <x:v>46078</x:v>
      </x:c>
      <x:c r="C513" s="50" t="str">
        <x:v>Direct</x:v>
      </x:c>
      <x:c r="D513" s="50" t="str">
        <x:v>TEAM-06</x:v>
      </x:c>
    </x:row>
    <x:row r="514">
      <x:c r="A514" s="50" t="str">
        <x:v>SYN0511</x:v>
      </x:c>
      <x:c r="B514" s="51" t="n">
        <x:v>46255</x:v>
      </x:c>
      <x:c r="C514" s="50" t="str">
        <x:v>Direct</x:v>
      </x:c>
      <x:c r="D514" s="50" t="str">
        <x:v>TEAM-03</x:v>
      </x:c>
    </x:row>
    <x:row r="515">
      <x:c r="A515" s="50" t="str">
        <x:v>SYN0512</x:v>
      </x:c>
      <x:c r="B515" s="51" t="n">
        <x:v>46179</x:v>
      </x:c>
      <x:c r="C515" s="50" t="str">
        <x:v>Employer</x:v>
      </x:c>
      <x:c r="D515" s="50" t="str">
        <x:v>TEAM-05</x:v>
      </x:c>
    </x:row>
    <x:row r="516">
      <x:c r="A516" s="50" t="str">
        <x:v>SYN0513</x:v>
      </x:c>
      <x:c r="B516" s="51" t="n">
        <x:v>46150</x:v>
      </x:c>
      <x:c r="C516" s="50" t="str">
        <x:v>Direct</x:v>
      </x:c>
      <x:c r="D516" s="50" t="str">
        <x:v>TEAM-03</x:v>
      </x:c>
    </x:row>
    <x:row r="517">
      <x:c r="A517" s="50" t="str">
        <x:v>SYN0514</x:v>
      </x:c>
      <x:c r="B517" s="51" t="n">
        <x:v>46221</x:v>
      </x:c>
      <x:c r="C517" s="50" t="str">
        <x:v>Direct</x:v>
      </x:c>
      <x:c r="D517" s="50" t="str">
        <x:v>TEAM-02</x:v>
      </x:c>
    </x:row>
    <x:row r="518">
      <x:c r="A518" s="50" t="str">
        <x:v>SYN0515</x:v>
      </x:c>
      <x:c r="B518" s="51" t="n">
        <x:v>46113</x:v>
      </x:c>
      <x:c r="C518" s="50" t="str">
        <x:v>Direct</x:v>
      </x:c>
      <x:c r="D518" s="50" t="str">
        <x:v>TEAM-04</x:v>
      </x:c>
    </x:row>
    <x:row r="519">
      <x:c r="A519" s="50" t="str">
        <x:v>SYN0516</x:v>
      </x:c>
      <x:c r="B519" s="51" t="n">
        <x:v>46137</x:v>
      </x:c>
      <x:c r="C519" s="50" t="str">
        <x:v>Employer</x:v>
      </x:c>
      <x:c r="D519" s="50" t="str">
        <x:v>TEAM-02</x:v>
      </x:c>
    </x:row>
    <x:row r="520">
      <x:c r="A520" s="50" t="str">
        <x:v>SYN0517</x:v>
      </x:c>
      <x:c r="B520" s="51" t="n">
        <x:v>46225</x:v>
      </x:c>
      <x:c r="C520" s="50" t="str">
        <x:v>Direct</x:v>
      </x:c>
      <x:c r="D520" s="50" t="str">
        <x:v>TEAM-03</x:v>
      </x:c>
    </x:row>
    <x:row r="521">
      <x:c r="A521" s="50" t="str">
        <x:v>SYN0518</x:v>
      </x:c>
      <x:c r="B521" s="51" t="n">
        <x:v>46252</x:v>
      </x:c>
      <x:c r="C521" s="50" t="str">
        <x:v>Direct</x:v>
      </x:c>
      <x:c r="D521" s="50" t="str">
        <x:v>TEAM-04</x:v>
      </x:c>
    </x:row>
    <x:row r="522">
      <x:c r="A522" s="50" t="str">
        <x:v>SYN0519</x:v>
      </x:c>
      <x:c r="B522" s="51" t="n">
        <x:v>46258</x:v>
      </x:c>
      <x:c r="C522" s="50" t="str">
        <x:v>Direct</x:v>
      </x:c>
      <x:c r="D522" s="50" t="str">
        <x:v>TEAM-01</x:v>
      </x:c>
    </x:row>
    <x:row r="523">
      <x:c r="A523" s="50" t="str">
        <x:v>SYN0520</x:v>
      </x:c>
      <x:c r="B523" s="51" t="n">
        <x:v>46107</x:v>
      </x:c>
      <x:c r="C523" s="50" t="str">
        <x:v>Direct</x:v>
      </x:c>
      <x:c r="D523" s="50" t="str">
        <x:v>TEAM-01</x:v>
      </x:c>
    </x:row>
    <x:row r="524">
      <x:c r="A524" s="50" t="str">
        <x:v>SYN0521</x:v>
      </x:c>
      <x:c r="B524" s="51" t="n">
        <x:v>46195</x:v>
      </x:c>
      <x:c r="C524" s="50" t="str">
        <x:v>Direct</x:v>
      </x:c>
      <x:c r="D524" s="50" t="str">
        <x:v>TEAM-02</x:v>
      </x:c>
    </x:row>
    <x:row r="525">
      <x:c r="A525" s="50" t="str">
        <x:v>SYN0522</x:v>
      </x:c>
      <x:c r="B525" s="51" t="n">
        <x:v>46196</x:v>
      </x:c>
      <x:c r="C525" s="50" t="str">
        <x:v>Direct</x:v>
      </x:c>
      <x:c r="D525" s="50" t="str">
        <x:v>TEAM-03</x:v>
      </x:c>
    </x:row>
    <x:row r="526">
      <x:c r="A526" s="50" t="str">
        <x:v>SYN0523</x:v>
      </x:c>
      <x:c r="B526" s="51" t="n">
        <x:v>46038</x:v>
      </x:c>
      <x:c r="C526" s="50" t="str">
        <x:v>Direct</x:v>
      </x:c>
      <x:c r="D526" s="50" t="str">
        <x:v>TEAM-02</x:v>
      </x:c>
    </x:row>
    <x:row r="527">
      <x:c r="A527" s="50" t="str">
        <x:v>SYN0524</x:v>
      </x:c>
      <x:c r="B527" s="51" t="n">
        <x:v>46185</x:v>
      </x:c>
      <x:c r="C527" s="50" t="str">
        <x:v>Direct</x:v>
      </x:c>
      <x:c r="D527" s="50" t="str">
        <x:v>TEAM-02</x:v>
      </x:c>
    </x:row>
    <x:row r="528">
      <x:c r="A528" s="50" t="str">
        <x:v>SYN0525</x:v>
      </x:c>
      <x:c r="B528" s="51" t="n">
        <x:v>46079</x:v>
      </x:c>
      <x:c r="C528" s="50" t="str">
        <x:v>Direct</x:v>
      </x:c>
      <x:c r="D528" s="50" t="str">
        <x:v>TEAM-04</x:v>
      </x:c>
    </x:row>
    <x:row r="529">
      <x:c r="A529" s="50" t="str">
        <x:v>SYN0526</x:v>
      </x:c>
      <x:c r="B529" s="51" t="n">
        <x:v>46097</x:v>
      </x:c>
      <x:c r="C529" s="50" t="str">
        <x:v>Direct</x:v>
      </x:c>
      <x:c r="D529" s="50" t="str">
        <x:v>TEAM-02</x:v>
      </x:c>
    </x:row>
    <x:row r="530">
      <x:c r="A530" s="50" t="str">
        <x:v>SYN0527</x:v>
      </x:c>
      <x:c r="B530" s="51" t="n">
        <x:v>46073</x:v>
      </x:c>
      <x:c r="C530" s="50" t="str">
        <x:v>Employer</x:v>
      </x:c>
      <x:c r="D530" s="50" t="str">
        <x:v>TEAM-02</x:v>
      </x:c>
    </x:row>
    <x:row r="531">
      <x:c r="A531" s="50" t="str">
        <x:v>SYN0528</x:v>
      </x:c>
      <x:c r="B531" s="51" t="n">
        <x:v>46191</x:v>
      </x:c>
      <x:c r="C531" s="50" t="str">
        <x:v>Direct</x:v>
      </x:c>
      <x:c r="D531" s="50" t="str">
        <x:v>TEAM-04</x:v>
      </x:c>
    </x:row>
    <x:row r="532">
      <x:c r="A532" s="50" t="str">
        <x:v>SYN0529</x:v>
      </x:c>
      <x:c r="B532" s="51" t="n">
        <x:v>46151</x:v>
      </x:c>
      <x:c r="C532" s="50" t="str">
        <x:v>Direct</x:v>
      </x:c>
      <x:c r="D532" s="50" t="str">
        <x:v>TEAM-01</x:v>
      </x:c>
    </x:row>
    <x:row r="533">
      <x:c r="A533" s="50" t="str">
        <x:v>SYN0530</x:v>
      </x:c>
      <x:c r="B533" s="51" t="n">
        <x:v>46062</x:v>
      </x:c>
      <x:c r="C533" s="50" t="str">
        <x:v>Direct</x:v>
      </x:c>
      <x:c r="D533" s="50" t="str">
        <x:v>TEAM-03</x:v>
      </x:c>
    </x:row>
    <x:row r="534">
      <x:c r="A534" s="50" t="str">
        <x:v>SYN0531</x:v>
      </x:c>
      <x:c r="B534" s="51" t="n">
        <x:v>46062</x:v>
      </x:c>
      <x:c r="C534" s="50" t="str">
        <x:v>Direct</x:v>
      </x:c>
      <x:c r="D534" s="50" t="str">
        <x:v>TEAM-05</x:v>
      </x:c>
    </x:row>
    <x:row r="535">
      <x:c r="A535" s="50" t="str">
        <x:v>SYN0532</x:v>
      </x:c>
      <x:c r="B535" s="51" t="n">
        <x:v>46154</x:v>
      </x:c>
      <x:c r="C535" s="50" t="str">
        <x:v>Direct</x:v>
      </x:c>
      <x:c r="D535" s="50" t="str">
        <x:v>TEAM-06</x:v>
      </x:c>
    </x:row>
    <x:row r="536">
      <x:c r="A536" s="50" t="str">
        <x:v>SYN0533</x:v>
      </x:c>
      <x:c r="B536" s="51" t="n">
        <x:v>46167</x:v>
      </x:c>
      <x:c r="C536" s="50" t="str">
        <x:v>Employer</x:v>
      </x:c>
      <x:c r="D536" s="50" t="str">
        <x:v>TEAM-04</x:v>
      </x:c>
    </x:row>
    <x:row r="537">
      <x:c r="A537" s="50" t="str">
        <x:v>SYN0534</x:v>
      </x:c>
      <x:c r="B537" s="51" t="n">
        <x:v>46252</x:v>
      </x:c>
      <x:c r="C537" s="50" t="str">
        <x:v>Employer</x:v>
      </x:c>
      <x:c r="D537" s="50" t="str">
        <x:v>TEAM-05</x:v>
      </x:c>
    </x:row>
    <x:row r="538">
      <x:c r="A538" s="50" t="str">
        <x:v>SYN0535</x:v>
      </x:c>
      <x:c r="B538" s="51" t="n">
        <x:v>46201</x:v>
      </x:c>
      <x:c r="C538" s="50" t="str">
        <x:v>Employer</x:v>
      </x:c>
      <x:c r="D538" s="50" t="str">
        <x:v>TEAM-06</x:v>
      </x:c>
    </x:row>
    <x:row r="539">
      <x:c r="A539" s="50" t="str">
        <x:v>SYN0536</x:v>
      </x:c>
      <x:c r="B539" s="51" t="n">
        <x:v>46054</x:v>
      </x:c>
      <x:c r="C539" s="50" t="str">
        <x:v>Direct</x:v>
      </x:c>
      <x:c r="D539" s="50" t="str">
        <x:v>TEAM-02</x:v>
      </x:c>
    </x:row>
    <x:row r="540">
      <x:c r="A540" s="50" t="str">
        <x:v>SYN0537</x:v>
      </x:c>
      <x:c r="B540" s="51" t="n">
        <x:v>46047</x:v>
      </x:c>
      <x:c r="C540" s="50" t="str">
        <x:v>Direct</x:v>
      </x:c>
      <x:c r="D540" s="50" t="str">
        <x:v>TEAM-03</x:v>
      </x:c>
    </x:row>
    <x:row r="541">
      <x:c r="A541" s="50" t="str">
        <x:v>SYN0538</x:v>
      </x:c>
      <x:c r="B541" s="51" t="n">
        <x:v>46144</x:v>
      </x:c>
      <x:c r="C541" s="50" t="str">
        <x:v>Direct</x:v>
      </x:c>
      <x:c r="D541" s="50" t="str">
        <x:v>TEAM-04</x:v>
      </x:c>
    </x:row>
    <x:row r="542">
      <x:c r="A542" s="50" t="str">
        <x:v>SYN0539</x:v>
      </x:c>
      <x:c r="B542" s="51" t="n">
        <x:v>46092</x:v>
      </x:c>
      <x:c r="C542" s="50" t="str">
        <x:v>Direct</x:v>
      </x:c>
      <x:c r="D542" s="50" t="str">
        <x:v>TEAM-01</x:v>
      </x:c>
    </x:row>
    <x:row r="543">
      <x:c r="A543" s="50" t="str">
        <x:v>SYN0540</x:v>
      </x:c>
      <x:c r="B543" s="51" t="n">
        <x:v>46175</x:v>
      </x:c>
      <x:c r="C543" s="50" t="str">
        <x:v>Direct</x:v>
      </x:c>
      <x:c r="D543" s="50" t="str">
        <x:v>TEAM-05</x:v>
      </x:c>
    </x:row>
    <x:row r="544">
      <x:c r="A544" s="50" t="str">
        <x:v>SYN0541</x:v>
      </x:c>
      <x:c r="B544" s="51" t="n">
        <x:v>46186</x:v>
      </x:c>
      <x:c r="C544" s="50" t="str">
        <x:v>Direct</x:v>
      </x:c>
      <x:c r="D544" s="50" t="str">
        <x:v>TEAM-02</x:v>
      </x:c>
    </x:row>
    <x:row r="545">
      <x:c r="A545" s="50" t="str">
        <x:v>SYN0542</x:v>
      </x:c>
      <x:c r="B545" s="51" t="n">
        <x:v>46106</x:v>
      </x:c>
      <x:c r="C545" s="50" t="str">
        <x:v>Direct</x:v>
      </x:c>
      <x:c r="D545" s="50" t="str">
        <x:v>TEAM-06</x:v>
      </x:c>
    </x:row>
    <x:row r="546">
      <x:c r="A546" s="50" t="str">
        <x:v>SYN0543</x:v>
      </x:c>
      <x:c r="B546" s="51" t="n">
        <x:v>46089</x:v>
      </x:c>
      <x:c r="C546" s="50" t="str">
        <x:v>Direct</x:v>
      </x:c>
      <x:c r="D546" s="50" t="str">
        <x:v>TEAM-01</x:v>
      </x:c>
    </x:row>
    <x:row r="547">
      <x:c r="A547" s="50" t="str">
        <x:v>SYN0544</x:v>
      </x:c>
      <x:c r="B547" s="51" t="n">
        <x:v>46170</x:v>
      </x:c>
      <x:c r="C547" s="50" t="str">
        <x:v>Direct</x:v>
      </x:c>
      <x:c r="D547" s="50" t="str">
        <x:v>TEAM-05</x:v>
      </x:c>
    </x:row>
    <x:row r="548">
      <x:c r="A548" s="50" t="str">
        <x:v>SYN0545</x:v>
      </x:c>
      <x:c r="B548" s="51" t="n">
        <x:v>46224</x:v>
      </x:c>
      <x:c r="C548" s="50" t="str">
        <x:v>Direct</x:v>
      </x:c>
      <x:c r="D548" s="50" t="str">
        <x:v>TEAM-06</x:v>
      </x:c>
    </x:row>
    <x:row r="549">
      <x:c r="A549" s="50" t="str">
        <x:v>SYN0546</x:v>
      </x:c>
      <x:c r="B549" s="51" t="n">
        <x:v>46105</x:v>
      </x:c>
      <x:c r="C549" s="50" t="str">
        <x:v>Employer</x:v>
      </x:c>
      <x:c r="D549" s="50" t="str">
        <x:v>TEAM-05</x:v>
      </x:c>
    </x:row>
    <x:row r="550">
      <x:c r="A550" s="50" t="str">
        <x:v>SYN0547</x:v>
      </x:c>
      <x:c r="B550" s="51" t="n">
        <x:v>46081</x:v>
      </x:c>
      <x:c r="C550" s="50" t="str">
        <x:v>Direct</x:v>
      </x:c>
      <x:c r="D550" s="50" t="str">
        <x:v>TEAM-06</x:v>
      </x:c>
    </x:row>
    <x:row r="551">
      <x:c r="A551" s="50" t="str">
        <x:v>SYN0548</x:v>
      </x:c>
      <x:c r="B551" s="51" t="n">
        <x:v>46191</x:v>
      </x:c>
      <x:c r="C551" s="50" t="str">
        <x:v>Employer</x:v>
      </x:c>
      <x:c r="D551" s="50" t="str">
        <x:v>TEAM-04</x:v>
      </x:c>
    </x:row>
    <x:row r="552">
      <x:c r="A552" s="50" t="str">
        <x:v>SYN0549</x:v>
      </x:c>
      <x:c r="B552" s="51" t="n">
        <x:v>46038</x:v>
      </x:c>
      <x:c r="C552" s="50" t="str">
        <x:v>Direct</x:v>
      </x:c>
      <x:c r="D552" s="50" t="str">
        <x:v>TEAM-02</x:v>
      </x:c>
    </x:row>
    <x:row r="553">
      <x:c r="A553" s="50" t="str">
        <x:v>SYN0550</x:v>
      </x:c>
      <x:c r="B553" s="51" t="n">
        <x:v>46122</x:v>
      </x:c>
      <x:c r="C553" s="50" t="str">
        <x:v>Direct</x:v>
      </x:c>
      <x:c r="D553" s="50" t="str">
        <x:v>TEAM-03</x:v>
      </x:c>
    </x:row>
    <x:row r="554">
      <x:c r="A554" s="50" t="str">
        <x:v>SYN0551</x:v>
      </x:c>
      <x:c r="B554" s="51" t="n">
        <x:v>46168</x:v>
      </x:c>
      <x:c r="C554" s="50" t="str">
        <x:v>Direct</x:v>
      </x:c>
      <x:c r="D554" s="50" t="str">
        <x:v>TEAM-01</x:v>
      </x:c>
    </x:row>
    <x:row r="555">
      <x:c r="A555" s="50" t="str">
        <x:v>SYN0552</x:v>
      </x:c>
      <x:c r="B555" s="51" t="n">
        <x:v>46090</x:v>
      </x:c>
      <x:c r="C555" s="50" t="str">
        <x:v>Employer</x:v>
      </x:c>
      <x:c r="D555" s="50" t="str">
        <x:v>TEAM-02</x:v>
      </x:c>
    </x:row>
    <x:row r="556">
      <x:c r="A556" s="50" t="str">
        <x:v>SYN0553</x:v>
      </x:c>
      <x:c r="B556" s="51" t="n">
        <x:v>46181</x:v>
      </x:c>
      <x:c r="C556" s="50" t="str">
        <x:v>Direct</x:v>
      </x:c>
      <x:c r="D556" s="50" t="str">
        <x:v>TEAM-06</x:v>
      </x:c>
    </x:row>
    <x:row r="557">
      <x:c r="A557" s="50" t="str">
        <x:v>SYN0554</x:v>
      </x:c>
      <x:c r="B557" s="51" t="n">
        <x:v>46196</x:v>
      </x:c>
      <x:c r="C557" s="50" t="str">
        <x:v>Direct</x:v>
      </x:c>
      <x:c r="D557" s="50" t="str">
        <x:v>TEAM-02</x:v>
      </x:c>
    </x:row>
    <x:row r="558">
      <x:c r="A558" s="50" t="str">
        <x:v>SYN0555</x:v>
      </x:c>
      <x:c r="B558" s="51" t="n">
        <x:v>46133</x:v>
      </x:c>
      <x:c r="C558" s="50" t="str">
        <x:v>Employer</x:v>
      </x:c>
      <x:c r="D558" s="50" t="str">
        <x:v>TEAM-04</x:v>
      </x:c>
    </x:row>
    <x:row r="559">
      <x:c r="A559" s="50" t="str">
        <x:v>SYN0556</x:v>
      </x:c>
      <x:c r="B559" s="51" t="n">
        <x:v>46262</x:v>
      </x:c>
      <x:c r="C559" s="50" t="str">
        <x:v>Direct</x:v>
      </x:c>
      <x:c r="D559" s="50" t="str">
        <x:v>TEAM-04</x:v>
      </x:c>
    </x:row>
    <x:row r="560">
      <x:c r="A560" s="50" t="str">
        <x:v>SYN0557</x:v>
      </x:c>
      <x:c r="B560" s="51" t="n">
        <x:v>46062</x:v>
      </x:c>
      <x:c r="C560" s="50" t="str">
        <x:v>Direct</x:v>
      </x:c>
      <x:c r="D560" s="50" t="str">
        <x:v>TEAM-05</x:v>
      </x:c>
    </x:row>
    <x:row r="561">
      <x:c r="A561" s="50" t="str">
        <x:v>SYN0558</x:v>
      </x:c>
      <x:c r="B561" s="51" t="n">
        <x:v>46211</x:v>
      </x:c>
      <x:c r="C561" s="50" t="str">
        <x:v>Employer</x:v>
      </x:c>
      <x:c r="D561" s="50" t="str">
        <x:v>TEAM-03</x:v>
      </x:c>
    </x:row>
    <x:row r="562">
      <x:c r="A562" s="50" t="str">
        <x:v>SYN0559</x:v>
      </x:c>
      <x:c r="B562" s="51" t="n">
        <x:v>46045</x:v>
      </x:c>
      <x:c r="C562" s="50" t="str">
        <x:v>Employer</x:v>
      </x:c>
      <x:c r="D562" s="50" t="str">
        <x:v>TEAM-02</x:v>
      </x:c>
    </x:row>
    <x:row r="563">
      <x:c r="A563" s="50" t="str">
        <x:v>SYN0560</x:v>
      </x:c>
      <x:c r="B563" s="51" t="n">
        <x:v>46078</x:v>
      </x:c>
      <x:c r="C563" s="50" t="str">
        <x:v>Employer</x:v>
      </x:c>
      <x:c r="D563" s="50" t="str">
        <x:v>TEAM-01</x:v>
      </x:c>
    </x:row>
    <x:row r="564">
      <x:c r="A564" s="50" t="str">
        <x:v>SYN0561</x:v>
      </x:c>
      <x:c r="B564" s="51" t="n">
        <x:v>46227</x:v>
      </x:c>
      <x:c r="C564" s="50" t="str">
        <x:v>Direct</x:v>
      </x:c>
      <x:c r="D564" s="50" t="str">
        <x:v>TEAM-03</x:v>
      </x:c>
    </x:row>
    <x:row r="565">
      <x:c r="A565" s="50" t="str">
        <x:v>SYN0562</x:v>
      </x:c>
      <x:c r="B565" s="51" t="n">
        <x:v>46102</x:v>
      </x:c>
      <x:c r="C565" s="50" t="str">
        <x:v>Employer</x:v>
      </x:c>
      <x:c r="D565" s="50" t="str">
        <x:v>TEAM-01</x:v>
      </x:c>
    </x:row>
    <x:row r="566">
      <x:c r="A566" s="50" t="str">
        <x:v>SYN0563</x:v>
      </x:c>
      <x:c r="B566" s="51" t="n">
        <x:v>46112</x:v>
      </x:c>
      <x:c r="C566" s="50" t="str">
        <x:v>Direct</x:v>
      </x:c>
      <x:c r="D566" s="50" t="str">
        <x:v>TEAM-03</x:v>
      </x:c>
    </x:row>
    <x:row r="567">
      <x:c r="A567" s="50" t="str">
        <x:v>SYN0564</x:v>
      </x:c>
      <x:c r="B567" s="51" t="n">
        <x:v>46233</x:v>
      </x:c>
      <x:c r="C567" s="50" t="str">
        <x:v>Employer</x:v>
      </x:c>
      <x:c r="D567" s="50" t="str">
        <x:v>TEAM-04</x:v>
      </x:c>
    </x:row>
    <x:row r="568">
      <x:c r="A568" s="50" t="str">
        <x:v>SYN0565</x:v>
      </x:c>
      <x:c r="B568" s="51" t="n">
        <x:v>46165</x:v>
      </x:c>
      <x:c r="C568" s="50" t="str">
        <x:v>Direct</x:v>
      </x:c>
      <x:c r="D568" s="50" t="str">
        <x:v>TEAM-04</x:v>
      </x:c>
    </x:row>
    <x:row r="569">
      <x:c r="A569" s="50" t="str">
        <x:v>SYN0566</x:v>
      </x:c>
      <x:c r="B569" s="51" t="n">
        <x:v>46139</x:v>
      </x:c>
      <x:c r="C569" s="50" t="str">
        <x:v>Employer</x:v>
      </x:c>
      <x:c r="D569" s="50" t="str">
        <x:v>TEAM-04</x:v>
      </x:c>
    </x:row>
    <x:row r="570">
      <x:c r="A570" s="50" t="str">
        <x:v>SYN0567</x:v>
      </x:c>
      <x:c r="B570" s="51" t="n">
        <x:v>46237</x:v>
      </x:c>
      <x:c r="C570" s="50" t="str">
        <x:v>Employer</x:v>
      </x:c>
      <x:c r="D570" s="50" t="str">
        <x:v>TEAM-06</x:v>
      </x:c>
    </x:row>
    <x:row r="571">
      <x:c r="A571" s="50" t="str">
        <x:v>SYN0568</x:v>
      </x:c>
      <x:c r="B571" s="51" t="n">
        <x:v>46087</x:v>
      </x:c>
      <x:c r="C571" s="50" t="str">
        <x:v>Employer</x:v>
      </x:c>
      <x:c r="D571" s="50" t="str">
        <x:v>TEAM-01</x:v>
      </x:c>
    </x:row>
    <x:row r="572">
      <x:c r="A572" s="50" t="str">
        <x:v>SYN0569</x:v>
      </x:c>
      <x:c r="B572" s="51" t="n">
        <x:v>46126</x:v>
      </x:c>
      <x:c r="C572" s="50" t="str">
        <x:v>Direct</x:v>
      </x:c>
      <x:c r="D572" s="50" t="str">
        <x:v>TEAM-03</x:v>
      </x:c>
    </x:row>
    <x:row r="573">
      <x:c r="A573" s="50" t="str">
        <x:v>SYN0570</x:v>
      </x:c>
      <x:c r="B573" s="51" t="n">
        <x:v>46219</x:v>
      </x:c>
      <x:c r="C573" s="50" t="str">
        <x:v>Direct</x:v>
      </x:c>
      <x:c r="D573" s="50" t="str">
        <x:v>TEAM-04</x:v>
      </x:c>
    </x:row>
    <x:row r="574">
      <x:c r="A574" s="50" t="str">
        <x:v>SYN0571</x:v>
      </x:c>
      <x:c r="B574" s="51" t="n">
        <x:v>46085</x:v>
      </x:c>
      <x:c r="C574" s="50" t="str">
        <x:v>Direct</x:v>
      </x:c>
      <x:c r="D574" s="50" t="str">
        <x:v>TEAM-02</x:v>
      </x:c>
    </x:row>
    <x:row r="575">
      <x:c r="A575" s="50" t="str">
        <x:v>SYN0572</x:v>
      </x:c>
      <x:c r="B575" s="51" t="n">
        <x:v>46025</x:v>
      </x:c>
      <x:c r="C575" s="50" t="str">
        <x:v>Direct</x:v>
      </x:c>
      <x:c r="D575" s="50" t="str">
        <x:v>TEAM-06</x:v>
      </x:c>
    </x:row>
    <x:row r="576">
      <x:c r="A576" s="50" t="str">
        <x:v>SYN0573</x:v>
      </x:c>
      <x:c r="B576" s="51" t="n">
        <x:v>46043</x:v>
      </x:c>
      <x:c r="C576" s="50" t="str">
        <x:v>Employer</x:v>
      </x:c>
      <x:c r="D576" s="50" t="str">
        <x:v>TEAM-05</x:v>
      </x:c>
    </x:row>
    <x:row r="577">
      <x:c r="A577" s="50" t="str">
        <x:v>SYN0574</x:v>
      </x:c>
      <x:c r="B577" s="51" t="n">
        <x:v>46226</x:v>
      </x:c>
      <x:c r="C577" s="50" t="str">
        <x:v>Direct</x:v>
      </x:c>
      <x:c r="D577" s="50" t="str">
        <x:v>TEAM-06</x:v>
      </x:c>
    </x:row>
    <x:row r="578">
      <x:c r="A578" s="50" t="str">
        <x:v>SYN0575</x:v>
      </x:c>
      <x:c r="B578" s="51" t="n">
        <x:v>46176</x:v>
      </x:c>
      <x:c r="C578" s="50" t="str">
        <x:v>Direct</x:v>
      </x:c>
      <x:c r="D578" s="50" t="str">
        <x:v>TEAM-05</x:v>
      </x:c>
    </x:row>
    <x:row r="579">
      <x:c r="A579" s="50" t="str">
        <x:v>SYN0576</x:v>
      </x:c>
      <x:c r="B579" s="51" t="n">
        <x:v>46244</x:v>
      </x:c>
      <x:c r="C579" s="50" t="str">
        <x:v>Direct</x:v>
      </x:c>
      <x:c r="D579" s="50" t="str">
        <x:v>TEAM-03</x:v>
      </x:c>
    </x:row>
    <x:row r="580">
      <x:c r="A580" s="50" t="str">
        <x:v>SYN0577</x:v>
      </x:c>
      <x:c r="B580" s="51" t="n">
        <x:v>46062</x:v>
      </x:c>
      <x:c r="C580" s="50" t="str">
        <x:v>Direct</x:v>
      </x:c>
      <x:c r="D580" s="50" t="str">
        <x:v>TEAM-04</x:v>
      </x:c>
    </x:row>
    <x:row r="581">
      <x:c r="A581" s="50" t="str">
        <x:v>SYN0578</x:v>
      </x:c>
      <x:c r="B581" s="51" t="n">
        <x:v>46219</x:v>
      </x:c>
      <x:c r="C581" s="50" t="str">
        <x:v>Employer</x:v>
      </x:c>
      <x:c r="D581" s="50" t="str">
        <x:v>TEAM-04</x:v>
      </x:c>
    </x:row>
    <x:row r="582">
      <x:c r="A582" s="50" t="str">
        <x:v>SYN0579</x:v>
      </x:c>
      <x:c r="B582" s="51" t="n">
        <x:v>46121</x:v>
      </x:c>
      <x:c r="C582" s="50" t="str">
        <x:v>Direct</x:v>
      </x:c>
      <x:c r="D582" s="50" t="str">
        <x:v>TEAM-03</x:v>
      </x:c>
    </x:row>
    <x:row r="583">
      <x:c r="A583" s="50" t="str">
        <x:v>SYN0580</x:v>
      </x:c>
      <x:c r="B583" s="51" t="n">
        <x:v>46231</x:v>
      </x:c>
      <x:c r="C583" s="50" t="str">
        <x:v>Employer</x:v>
      </x:c>
      <x:c r="D583" s="50" t="str">
        <x:v>TEAM-05</x:v>
      </x:c>
    </x:row>
    <x:row r="584">
      <x:c r="A584" s="50" t="str">
        <x:v>SYN0581</x:v>
      </x:c>
      <x:c r="B584" s="51" t="n">
        <x:v>46259</x:v>
      </x:c>
      <x:c r="C584" s="50" t="str">
        <x:v>Direct</x:v>
      </x:c>
      <x:c r="D584" s="50" t="str">
        <x:v>TEAM-03</x:v>
      </x:c>
    </x:row>
    <x:row r="585">
      <x:c r="A585" s="50" t="str">
        <x:v>SYN0582</x:v>
      </x:c>
      <x:c r="B585" s="51" t="n">
        <x:v>46242</x:v>
      </x:c>
      <x:c r="C585" s="50" t="str">
        <x:v>Employer</x:v>
      </x:c>
      <x:c r="D585" s="50" t="str">
        <x:v>TEAM-03</x:v>
      </x:c>
    </x:row>
    <x:row r="586">
      <x:c r="A586" s="50" t="str">
        <x:v>SYN0583</x:v>
      </x:c>
      <x:c r="B586" s="51" t="n">
        <x:v>46247</x:v>
      </x:c>
      <x:c r="C586" s="50" t="str">
        <x:v>Employer</x:v>
      </x:c>
      <x:c r="D586" s="50" t="str">
        <x:v>TEAM-05</x:v>
      </x:c>
    </x:row>
    <x:row r="587">
      <x:c r="A587" s="50" t="str">
        <x:v>SYN0584</x:v>
      </x:c>
      <x:c r="B587" s="51" t="n">
        <x:v>46261</x:v>
      </x:c>
      <x:c r="C587" s="50" t="str">
        <x:v>Direct</x:v>
      </x:c>
      <x:c r="D587" s="50" t="str">
        <x:v>TEAM-02</x:v>
      </x:c>
    </x:row>
    <x:row r="588">
      <x:c r="A588" s="50" t="str">
        <x:v>SYN0585</x:v>
      </x:c>
      <x:c r="B588" s="51" t="n">
        <x:v>46076</x:v>
      </x:c>
      <x:c r="C588" s="50" t="str">
        <x:v>Direct</x:v>
      </x:c>
      <x:c r="D588" s="50" t="str">
        <x:v>TEAM-04</x:v>
      </x:c>
    </x:row>
    <x:row r="589">
      <x:c r="A589" s="50" t="str">
        <x:v>SYN0586</x:v>
      </x:c>
      <x:c r="B589" s="51" t="n">
        <x:v>46150</x:v>
      </x:c>
      <x:c r="C589" s="50" t="str">
        <x:v>Employer</x:v>
      </x:c>
      <x:c r="D589" s="50" t="str">
        <x:v>TEAM-02</x:v>
      </x:c>
    </x:row>
    <x:row r="590">
      <x:c r="A590" s="50" t="str">
        <x:v>SYN0587</x:v>
      </x:c>
      <x:c r="B590" s="51" t="n">
        <x:v>46035</x:v>
      </x:c>
      <x:c r="C590" s="50" t="str">
        <x:v>Employer</x:v>
      </x:c>
      <x:c r="D590" s="50" t="str">
        <x:v>TEAM-06</x:v>
      </x:c>
    </x:row>
    <x:row r="591">
      <x:c r="A591" s="50" t="str">
        <x:v>SYN0588</x:v>
      </x:c>
      <x:c r="B591" s="51" t="n">
        <x:v>46088</x:v>
      </x:c>
      <x:c r="C591" s="50" t="str">
        <x:v>Direct</x:v>
      </x:c>
      <x:c r="D591" s="50" t="str">
        <x:v>TEAM-02</x:v>
      </x:c>
    </x:row>
    <x:row r="592">
      <x:c r="A592" s="50" t="str">
        <x:v>SYN0589</x:v>
      </x:c>
      <x:c r="B592" s="51" t="n">
        <x:v>46157</x:v>
      </x:c>
      <x:c r="C592" s="50" t="str">
        <x:v>Direct</x:v>
      </x:c>
      <x:c r="D592" s="50" t="str">
        <x:v>TEAM-01</x:v>
      </x:c>
    </x:row>
    <x:row r="593">
      <x:c r="A593" s="50" t="str">
        <x:v>SYN0590</x:v>
      </x:c>
      <x:c r="B593" s="51" t="n">
        <x:v>46259</x:v>
      </x:c>
      <x:c r="C593" s="50" t="str">
        <x:v>Direct</x:v>
      </x:c>
      <x:c r="D593" s="50" t="str">
        <x:v>TEAM-05</x:v>
      </x:c>
    </x:row>
    <x:row r="594">
      <x:c r="A594" s="50" t="str">
        <x:v>SYN0591</x:v>
      </x:c>
      <x:c r="B594" s="51" t="n">
        <x:v>46158</x:v>
      </x:c>
      <x:c r="C594" s="50" t="str">
        <x:v>Employer</x:v>
      </x:c>
      <x:c r="D594" s="50" t="str">
        <x:v>TEAM-03</x:v>
      </x:c>
    </x:row>
    <x:row r="595">
      <x:c r="A595" s="50" t="str">
        <x:v>SYN0592</x:v>
      </x:c>
      <x:c r="B595" s="51" t="n">
        <x:v>46232</x:v>
      </x:c>
      <x:c r="C595" s="50" t="str">
        <x:v>Direct</x:v>
      </x:c>
      <x:c r="D595" s="50" t="str">
        <x:v>TEAM-06</x:v>
      </x:c>
    </x:row>
    <x:row r="596">
      <x:c r="A596" s="50" t="str">
        <x:v>SYN0593</x:v>
      </x:c>
      <x:c r="B596" s="51" t="n">
        <x:v>46262</x:v>
      </x:c>
      <x:c r="C596" s="50" t="str">
        <x:v>Employer</x:v>
      </x:c>
      <x:c r="D596" s="50" t="str">
        <x:v>TEAM-02</x:v>
      </x:c>
    </x:row>
    <x:row r="597">
      <x:c r="A597" s="50" t="str">
        <x:v>SYN0594</x:v>
      </x:c>
      <x:c r="B597" s="51" t="n">
        <x:v>46117</x:v>
      </x:c>
      <x:c r="C597" s="50" t="str">
        <x:v>Employer</x:v>
      </x:c>
      <x:c r="D597" s="50" t="str">
        <x:v>TEAM-06</x:v>
      </x:c>
    </x:row>
    <x:row r="598">
      <x:c r="A598" s="50" t="str">
        <x:v>SYN0595</x:v>
      </x:c>
      <x:c r="B598" s="51" t="n">
        <x:v>46169</x:v>
      </x:c>
      <x:c r="C598" s="50" t="str">
        <x:v>Direct</x:v>
      </x:c>
      <x:c r="D598" s="50" t="str">
        <x:v>TEAM-03</x:v>
      </x:c>
    </x:row>
    <x:row r="599">
      <x:c r="A599" s="50" t="str">
        <x:v>SYN0596</x:v>
      </x:c>
      <x:c r="B599" s="51" t="n">
        <x:v>46107</x:v>
      </x:c>
      <x:c r="C599" s="50" t="str">
        <x:v>Direct</x:v>
      </x:c>
      <x:c r="D599" s="50" t="str">
        <x:v>TEAM-01</x:v>
      </x:c>
    </x:row>
    <x:row r="600">
      <x:c r="A600" s="50" t="str">
        <x:v>SYN0597</x:v>
      </x:c>
      <x:c r="B600" s="51" t="n">
        <x:v>46164</x:v>
      </x:c>
      <x:c r="C600" s="50" t="str">
        <x:v>Direct</x:v>
      </x:c>
      <x:c r="D600" s="50" t="str">
        <x:v>TEAM-05</x:v>
      </x:c>
    </x:row>
    <x:row r="601">
      <x:c r="A601" s="50" t="str">
        <x:v>SYN0598</x:v>
      </x:c>
      <x:c r="B601" s="51" t="n">
        <x:v>46096</x:v>
      </x:c>
      <x:c r="C601" s="50" t="str">
        <x:v>Direct</x:v>
      </x:c>
      <x:c r="D601" s="50" t="str">
        <x:v>TEAM-03</x:v>
      </x:c>
    </x:row>
    <x:row r="602">
      <x:c r="A602" s="50" t="str">
        <x:v>SYN0599</x:v>
      </x:c>
      <x:c r="B602" s="51" t="n">
        <x:v>46066</x:v>
      </x:c>
      <x:c r="C602" s="50" t="str">
        <x:v>Direct</x:v>
      </x:c>
      <x:c r="D602" s="50" t="str">
        <x:v>TEAM-03</x:v>
      </x:c>
    </x:row>
    <x:row r="603">
      <x:c r="A603" s="50" t="str">
        <x:v>SYN0600</x:v>
      </x:c>
      <x:c r="B603" s="51" t="n">
        <x:v>46176</x:v>
      </x:c>
      <x:c r="C603" s="50" t="str">
        <x:v>Direct</x:v>
      </x:c>
      <x:c r="D603" s="50" t="str">
        <x:v>TEAM-01</x:v>
      </x:c>
    </x:row>
    <x:row r="604">
      <x:c r="A604" s="50" t="str">
        <x:v>SYN0601</x:v>
      </x:c>
      <x:c r="B604" s="51" t="n">
        <x:v>46077</x:v>
      </x:c>
      <x:c r="C604" s="50" t="str">
        <x:v>Direct</x:v>
      </x:c>
      <x:c r="D604" s="50" t="str">
        <x:v>TEAM-04</x:v>
      </x:c>
    </x:row>
    <x:row r="605">
      <x:c r="A605" s="50" t="str">
        <x:v>SYN0602</x:v>
      </x:c>
      <x:c r="B605" s="51" t="n">
        <x:v>46027</x:v>
      </x:c>
      <x:c r="C605" s="50" t="str">
        <x:v>Direct</x:v>
      </x:c>
      <x:c r="D605" s="50" t="str">
        <x:v>TEAM-06</x:v>
      </x:c>
    </x:row>
    <x:row r="606">
      <x:c r="A606" s="50" t="str">
        <x:v>SYN0603</x:v>
      </x:c>
      <x:c r="B606" s="51" t="n">
        <x:v>46199</x:v>
      </x:c>
      <x:c r="C606" s="50" t="str">
        <x:v>Direct</x:v>
      </x:c>
      <x:c r="D606" s="50" t="str">
        <x:v>TEAM-03</x:v>
      </x:c>
    </x:row>
    <x:row r="607">
      <x:c r="A607" s="50" t="str">
        <x:v>SYN0604</x:v>
      </x:c>
      <x:c r="B607" s="51" t="n">
        <x:v>46153</x:v>
      </x:c>
      <x:c r="C607" s="50" t="str">
        <x:v>Employer</x:v>
      </x:c>
      <x:c r="D607" s="50" t="str">
        <x:v>TEAM-06</x:v>
      </x:c>
    </x:row>
    <x:row r="608">
      <x:c r="A608" s="50" t="str">
        <x:v>SYN0605</x:v>
      </x:c>
      <x:c r="B608" s="51" t="n">
        <x:v>46256</x:v>
      </x:c>
      <x:c r="C608" s="50" t="str">
        <x:v>Direct</x:v>
      </x:c>
      <x:c r="D608" s="50" t="str">
        <x:v>TEAM-03</x:v>
      </x:c>
    </x:row>
    <x:row r="609">
      <x:c r="A609" s="50" t="str">
        <x:v>SYN0606</x:v>
      </x:c>
      <x:c r="B609" s="51" t="n">
        <x:v>46235</x:v>
      </x:c>
      <x:c r="C609" s="50" t="str">
        <x:v>Employer</x:v>
      </x:c>
      <x:c r="D609" s="50" t="str">
        <x:v>TEAM-05</x:v>
      </x:c>
    </x:row>
    <x:row r="610">
      <x:c r="A610" s="50" t="str">
        <x:v>SYN0607</x:v>
      </x:c>
      <x:c r="B610" s="51" t="n">
        <x:v>46071</x:v>
      </x:c>
      <x:c r="C610" s="50" t="str">
        <x:v>Employer</x:v>
      </x:c>
      <x:c r="D610" s="50" t="str">
        <x:v>TEAM-02</x:v>
      </x:c>
    </x:row>
    <x:row r="611">
      <x:c r="A611" s="50" t="str">
        <x:v>SYN0608</x:v>
      </x:c>
      <x:c r="B611" s="51" t="n">
        <x:v>46249</x:v>
      </x:c>
      <x:c r="C611" s="50" t="str">
        <x:v>Employer</x:v>
      </x:c>
      <x:c r="D611" s="50" t="str">
        <x:v>TEAM-02</x:v>
      </x:c>
    </x:row>
    <x:row r="612">
      <x:c r="A612" s="50" t="str">
        <x:v>SYN0609</x:v>
      </x:c>
      <x:c r="B612" s="51" t="n">
        <x:v>46064</x:v>
      </x:c>
      <x:c r="C612" s="50" t="str">
        <x:v>Direct</x:v>
      </x:c>
      <x:c r="D612" s="50" t="str">
        <x:v>TEAM-01</x:v>
      </x:c>
    </x:row>
    <x:row r="613">
      <x:c r="A613" s="50" t="str">
        <x:v>SYN0610</x:v>
      </x:c>
      <x:c r="B613" s="51" t="n">
        <x:v>46135</x:v>
      </x:c>
      <x:c r="C613" s="50" t="str">
        <x:v>Direct</x:v>
      </x:c>
      <x:c r="D613" s="50" t="str">
        <x:v>TEAM-05</x:v>
      </x:c>
    </x:row>
    <x:row r="614">
      <x:c r="A614" s="50" t="str">
        <x:v>SYN0611</x:v>
      </x:c>
      <x:c r="B614" s="51" t="n">
        <x:v>46152</x:v>
      </x:c>
      <x:c r="C614" s="50" t="str">
        <x:v>Direct</x:v>
      </x:c>
      <x:c r="D614" s="50" t="str">
        <x:v>TEAM-06</x:v>
      </x:c>
    </x:row>
    <x:row r="615">
      <x:c r="A615" s="50" t="str">
        <x:v>SYN0612</x:v>
      </x:c>
      <x:c r="B615" s="51" t="n">
        <x:v>46115</x:v>
      </x:c>
      <x:c r="C615" s="50" t="str">
        <x:v>Direct</x:v>
      </x:c>
      <x:c r="D615" s="50" t="str">
        <x:v>TEAM-01</x:v>
      </x:c>
    </x:row>
    <x:row r="616">
      <x:c r="A616" s="50" t="str">
        <x:v>SYN0613</x:v>
      </x:c>
      <x:c r="B616" s="51" t="n">
        <x:v>46049</x:v>
      </x:c>
      <x:c r="C616" s="50" t="str">
        <x:v>Direct</x:v>
      </x:c>
      <x:c r="D616" s="50" t="str">
        <x:v>TEAM-02</x:v>
      </x:c>
    </x:row>
    <x:row r="617">
      <x:c r="A617" s="50" t="str">
        <x:v>SYN0614</x:v>
      </x:c>
      <x:c r="B617" s="51" t="n">
        <x:v>46036</x:v>
      </x:c>
      <x:c r="C617" s="50" t="str">
        <x:v>Employer</x:v>
      </x:c>
      <x:c r="D617" s="50" t="str">
        <x:v>TEAM-02</x:v>
      </x:c>
    </x:row>
    <x:row r="618">
      <x:c r="A618" s="50" t="str">
        <x:v>SYN0615</x:v>
      </x:c>
      <x:c r="B618" s="51" t="n">
        <x:v>46165</x:v>
      </x:c>
      <x:c r="C618" s="50" t="str">
        <x:v>Employer</x:v>
      </x:c>
      <x:c r="D618" s="50" t="str">
        <x:v>TEAM-05</x:v>
      </x:c>
    </x:row>
    <x:row r="619">
      <x:c r="A619" s="50" t="str">
        <x:v>SYN0616</x:v>
      </x:c>
      <x:c r="B619" s="51" t="n">
        <x:v>46148</x:v>
      </x:c>
      <x:c r="C619" s="50" t="str">
        <x:v>Direct</x:v>
      </x:c>
      <x:c r="D619" s="50" t="str">
        <x:v>TEAM-02</x:v>
      </x:c>
    </x:row>
    <x:row r="620">
      <x:c r="A620" s="50" t="str">
        <x:v>SYN0617</x:v>
      </x:c>
      <x:c r="B620" s="51" t="n">
        <x:v>46100</x:v>
      </x:c>
      <x:c r="C620" s="50" t="str">
        <x:v>Direct</x:v>
      </x:c>
      <x:c r="D620" s="50" t="str">
        <x:v>TEAM-04</x:v>
      </x:c>
    </x:row>
    <x:row r="621">
      <x:c r="A621" s="50" t="str">
        <x:v>SYN0618</x:v>
      </x:c>
      <x:c r="B621" s="51" t="n">
        <x:v>46212</x:v>
      </x:c>
      <x:c r="C621" s="50" t="str">
        <x:v>Employer</x:v>
      </x:c>
      <x:c r="D621" s="50" t="str">
        <x:v>TEAM-02</x:v>
      </x:c>
    </x:row>
    <x:row r="622">
      <x:c r="A622" s="50" t="str">
        <x:v>SYN0619</x:v>
      </x:c>
      <x:c r="B622" s="51" t="n">
        <x:v>46053</x:v>
      </x:c>
      <x:c r="C622" s="50" t="str">
        <x:v>Direct</x:v>
      </x:c>
      <x:c r="D622" s="50" t="str">
        <x:v>TEAM-02</x:v>
      </x:c>
    </x:row>
    <x:row r="623">
      <x:c r="A623" s="50" t="str">
        <x:v>SYN0620</x:v>
      </x:c>
      <x:c r="B623" s="51" t="n">
        <x:v>46185</x:v>
      </x:c>
      <x:c r="C623" s="50" t="str">
        <x:v>Employer</x:v>
      </x:c>
      <x:c r="D623" s="50" t="str">
        <x:v>TEAM-05</x:v>
      </x:c>
    </x:row>
    <x:row r="624">
      <x:c r="A624" s="50" t="str">
        <x:v>SYN0621</x:v>
      </x:c>
      <x:c r="B624" s="51" t="n">
        <x:v>46232</x:v>
      </x:c>
      <x:c r="C624" s="50" t="str">
        <x:v>Direct</x:v>
      </x:c>
      <x:c r="D624" s="50" t="str">
        <x:v>TEAM-04</x:v>
      </x:c>
    </x:row>
    <x:row r="625">
      <x:c r="A625" s="50" t="str">
        <x:v>SYN0622</x:v>
      </x:c>
      <x:c r="B625" s="51" t="n">
        <x:v>46097</x:v>
      </x:c>
      <x:c r="C625" s="50" t="str">
        <x:v>Direct</x:v>
      </x:c>
      <x:c r="D625" s="50" t="str">
        <x:v>TEAM-01</x:v>
      </x:c>
    </x:row>
    <x:row r="626">
      <x:c r="A626" s="50" t="str">
        <x:v>SYN0623</x:v>
      </x:c>
      <x:c r="B626" s="51" t="n">
        <x:v>46031</x:v>
      </x:c>
      <x:c r="C626" s="50" t="str">
        <x:v>Direct</x:v>
      </x:c>
      <x:c r="D626" s="50" t="str">
        <x:v>TEAM-01</x:v>
      </x:c>
    </x:row>
    <x:row r="627">
      <x:c r="A627" s="50" t="str">
        <x:v>SYN0624</x:v>
      </x:c>
      <x:c r="B627" s="51" t="n">
        <x:v>46137</x:v>
      </x:c>
      <x:c r="C627" s="50" t="str">
        <x:v>Direct</x:v>
      </x:c>
      <x:c r="D627" s="50" t="str">
        <x:v>TEAM-05</x:v>
      </x:c>
    </x:row>
    <x:row r="628">
      <x:c r="A628" s="50" t="str">
        <x:v>SYN0625</x:v>
      </x:c>
      <x:c r="B628" s="51" t="n">
        <x:v>46029</x:v>
      </x:c>
      <x:c r="C628" s="50" t="str">
        <x:v>Direct</x:v>
      </x:c>
      <x:c r="D628" s="50" t="str">
        <x:v>TEAM-03</x:v>
      </x:c>
    </x:row>
    <x:row r="629">
      <x:c r="A629" s="50" t="str">
        <x:v>SYN0626</x:v>
      </x:c>
      <x:c r="B629" s="51" t="n">
        <x:v>46178</x:v>
      </x:c>
      <x:c r="C629" s="50" t="str">
        <x:v>Direct</x:v>
      </x:c>
      <x:c r="D629" s="50" t="str">
        <x:v>TEAM-04</x:v>
      </x:c>
    </x:row>
    <x:row r="630">
      <x:c r="A630" s="50" t="str">
        <x:v>SYN0627</x:v>
      </x:c>
      <x:c r="B630" s="51" t="n">
        <x:v>46119</x:v>
      </x:c>
      <x:c r="C630" s="50" t="str">
        <x:v>Employer</x:v>
      </x:c>
      <x:c r="D630" s="50" t="str">
        <x:v>TEAM-04</x:v>
      </x:c>
    </x:row>
    <x:row r="631">
      <x:c r="A631" s="50" t="str">
        <x:v>SYN0628</x:v>
      </x:c>
      <x:c r="B631" s="51" t="n">
        <x:v>46070</x:v>
      </x:c>
      <x:c r="C631" s="50" t="str">
        <x:v>Direct</x:v>
      </x:c>
      <x:c r="D631" s="50" t="str">
        <x:v>TEAM-06</x:v>
      </x:c>
    </x:row>
    <x:row r="632">
      <x:c r="A632" s="50" t="str">
        <x:v>SYN0629</x:v>
      </x:c>
      <x:c r="B632" s="51" t="n">
        <x:v>46058</x:v>
      </x:c>
      <x:c r="C632" s="50" t="str">
        <x:v>Direct</x:v>
      </x:c>
      <x:c r="D632" s="50" t="str">
        <x:v>TEAM-04</x:v>
      </x:c>
    </x:row>
    <x:row r="633">
      <x:c r="A633" s="50" t="str">
        <x:v>SYN0630</x:v>
      </x:c>
      <x:c r="B633" s="51" t="n">
        <x:v>46152</x:v>
      </x:c>
      <x:c r="C633" s="50" t="str">
        <x:v>Employer</x:v>
      </x:c>
      <x:c r="D633" s="50" t="str">
        <x:v>TEAM-03</x:v>
      </x:c>
    </x:row>
    <x:row r="634">
      <x:c r="A634" s="50" t="str">
        <x:v>SYN0631</x:v>
      </x:c>
      <x:c r="B634" s="51" t="n">
        <x:v>46211</x:v>
      </x:c>
      <x:c r="C634" s="50" t="str">
        <x:v>Direct</x:v>
      </x:c>
      <x:c r="D634" s="50" t="str">
        <x:v>TEAM-05</x:v>
      </x:c>
    </x:row>
    <x:row r="635">
      <x:c r="A635" s="50" t="str">
        <x:v>SYN0632</x:v>
      </x:c>
      <x:c r="B635" s="51" t="n">
        <x:v>46064</x:v>
      </x:c>
      <x:c r="C635" s="50" t="str">
        <x:v>Employer</x:v>
      </x:c>
      <x:c r="D635" s="50" t="str">
        <x:v>TEAM-05</x:v>
      </x:c>
    </x:row>
    <x:row r="636">
      <x:c r="A636" s="50" t="str">
        <x:v>SYN0633</x:v>
      </x:c>
      <x:c r="B636" s="51" t="n">
        <x:v>46210</x:v>
      </x:c>
      <x:c r="C636" s="50" t="str">
        <x:v>Direct</x:v>
      </x:c>
      <x:c r="D636" s="50" t="str">
        <x:v>TEAM-02</x:v>
      </x:c>
    </x:row>
    <x:row r="637">
      <x:c r="A637" s="50" t="str">
        <x:v>SYN0634</x:v>
      </x:c>
      <x:c r="B637" s="51" t="n">
        <x:v>46033</x:v>
      </x:c>
      <x:c r="C637" s="50" t="str">
        <x:v>Employer</x:v>
      </x:c>
      <x:c r="D637" s="50" t="str">
        <x:v>TEAM-05</x:v>
      </x:c>
    </x:row>
    <x:row r="638">
      <x:c r="A638" s="50" t="str">
        <x:v>SYN0635</x:v>
      </x:c>
      <x:c r="B638" s="51" t="n">
        <x:v>46089</x:v>
      </x:c>
      <x:c r="C638" s="50" t="str">
        <x:v>Employer</x:v>
      </x:c>
      <x:c r="D638" s="50" t="str">
        <x:v>TEAM-06</x:v>
      </x:c>
    </x:row>
    <x:row r="639">
      <x:c r="A639" s="50" t="str">
        <x:v>SYN0636</x:v>
      </x:c>
      <x:c r="B639" s="51" t="n">
        <x:v>46050</x:v>
      </x:c>
      <x:c r="C639" s="50" t="str">
        <x:v>Direct</x:v>
      </x:c>
      <x:c r="D639" s="50" t="str">
        <x:v>TEAM-02</x:v>
      </x:c>
    </x:row>
    <x:row r="640">
      <x:c r="A640" s="50" t="str">
        <x:v>SYN0637</x:v>
      </x:c>
      <x:c r="B640" s="51" t="n">
        <x:v>46159</x:v>
      </x:c>
      <x:c r="C640" s="50" t="str">
        <x:v>Direct</x:v>
      </x:c>
      <x:c r="D640" s="50" t="str">
        <x:v>TEAM-02</x:v>
      </x:c>
    </x:row>
    <x:row r="641">
      <x:c r="A641" s="50" t="str">
        <x:v>SYN0638</x:v>
      </x:c>
      <x:c r="B641" s="51" t="n">
        <x:v>46221</x:v>
      </x:c>
      <x:c r="C641" s="50" t="str">
        <x:v>Direct</x:v>
      </x:c>
      <x:c r="D641" s="50" t="str">
        <x:v>TEAM-05</x:v>
      </x:c>
    </x:row>
    <x:row r="642">
      <x:c r="A642" s="50" t="str">
        <x:v>SYN0639</x:v>
      </x:c>
      <x:c r="B642" s="51" t="n">
        <x:v>46201</x:v>
      </x:c>
      <x:c r="C642" s="50" t="str">
        <x:v>Employer</x:v>
      </x:c>
      <x:c r="D642" s="50" t="str">
        <x:v>TEAM-04</x:v>
      </x:c>
    </x:row>
    <x:row r="643">
      <x:c r="A643" s="50" t="str">
        <x:v>SYN0640</x:v>
      </x:c>
      <x:c r="B643" s="51" t="n">
        <x:v>46034</x:v>
      </x:c>
      <x:c r="C643" s="50" t="str">
        <x:v>Direct</x:v>
      </x:c>
      <x:c r="D643" s="50" t="str">
        <x:v>TEAM-03</x:v>
      </x:c>
    </x:row>
    <x:row r="644">
      <x:c r="A644" s="50" t="str">
        <x:v>SYN0641</x:v>
      </x:c>
      <x:c r="B644" s="51" t="n">
        <x:v>46225</x:v>
      </x:c>
      <x:c r="C644" s="50" t="str">
        <x:v>Direct</x:v>
      </x:c>
      <x:c r="D644" s="50" t="str">
        <x:v>TEAM-04</x:v>
      </x:c>
    </x:row>
    <x:row r="645">
      <x:c r="A645" s="50" t="str">
        <x:v>SYN0642</x:v>
      </x:c>
      <x:c r="B645" s="51" t="n">
        <x:v>46212</x:v>
      </x:c>
      <x:c r="C645" s="50" t="str">
        <x:v>Direct</x:v>
      </x:c>
      <x:c r="D645" s="50" t="str">
        <x:v>TEAM-02</x:v>
      </x:c>
    </x:row>
    <x:row r="646">
      <x:c r="A646" s="50" t="str">
        <x:v>SYN0643</x:v>
      </x:c>
      <x:c r="B646" s="51" t="n">
        <x:v>46066</x:v>
      </x:c>
      <x:c r="C646" s="50" t="str">
        <x:v>Direct</x:v>
      </x:c>
      <x:c r="D646" s="50" t="str">
        <x:v>TEAM-01</x:v>
      </x:c>
    </x:row>
    <x:row r="647">
      <x:c r="A647" s="50" t="str">
        <x:v>SYN0644</x:v>
      </x:c>
      <x:c r="B647" s="51" t="n">
        <x:v>46037</x:v>
      </x:c>
      <x:c r="C647" s="50" t="str">
        <x:v>Direct</x:v>
      </x:c>
      <x:c r="D647" s="50" t="str">
        <x:v>TEAM-04</x:v>
      </x:c>
    </x:row>
    <x:row r="648">
      <x:c r="A648" s="50" t="str">
        <x:v>SYN0645</x:v>
      </x:c>
      <x:c r="B648" s="51" t="n">
        <x:v>46207</x:v>
      </x:c>
      <x:c r="C648" s="50" t="str">
        <x:v>Employer</x:v>
      </x:c>
      <x:c r="D648" s="50" t="str">
        <x:v>TEAM-02</x:v>
      </x:c>
    </x:row>
    <x:row r="649">
      <x:c r="A649" s="50" t="str">
        <x:v>SYN0646</x:v>
      </x:c>
      <x:c r="B649" s="51" t="n">
        <x:v>46263</x:v>
      </x:c>
      <x:c r="C649" s="50" t="str">
        <x:v>Direct</x:v>
      </x:c>
      <x:c r="D649" s="50" t="str">
        <x:v>TEAM-05</x:v>
      </x:c>
    </x:row>
    <x:row r="650">
      <x:c r="A650" s="50" t="str">
        <x:v>SYN0647</x:v>
      </x:c>
      <x:c r="B650" s="51" t="n">
        <x:v>46113</x:v>
      </x:c>
      <x:c r="C650" s="50" t="str">
        <x:v>Employer</x:v>
      </x:c>
      <x:c r="D650" s="50" t="str">
        <x:v>TEAM-03</x:v>
      </x:c>
    </x:row>
    <x:row r="651">
      <x:c r="A651" s="50" t="str">
        <x:v>SYN0648</x:v>
      </x:c>
      <x:c r="B651" s="51" t="n">
        <x:v>46196</x:v>
      </x:c>
      <x:c r="C651" s="50" t="str">
        <x:v>Direct</x:v>
      </x:c>
      <x:c r="D651" s="50" t="str">
        <x:v>TEAM-03</x:v>
      </x:c>
    </x:row>
    <x:row r="652">
      <x:c r="A652" s="50" t="str">
        <x:v>SYN0649</x:v>
      </x:c>
      <x:c r="B652" s="51" t="n">
        <x:v>46077</x:v>
      </x:c>
      <x:c r="C652" s="50" t="str">
        <x:v>Direct</x:v>
      </x:c>
      <x:c r="D652" s="50" t="str">
        <x:v>TEAM-05</x:v>
      </x:c>
    </x:row>
    <x:row r="653">
      <x:c r="A653" s="50" t="str">
        <x:v>SYN0650</x:v>
      </x:c>
      <x:c r="B653" s="51" t="n">
        <x:v>46071</x:v>
      </x:c>
      <x:c r="C653" s="50" t="str">
        <x:v>Direct</x:v>
      </x:c>
      <x:c r="D653" s="50" t="str">
        <x:v>TEAM-06</x:v>
      </x:c>
    </x:row>
    <x:row r="654">
      <x:c r="A654" s="50" t="str">
        <x:v>SYN0651</x:v>
      </x:c>
      <x:c r="B654" s="51" t="n">
        <x:v>46080</x:v>
      </x:c>
      <x:c r="C654" s="50" t="str">
        <x:v>Employer</x:v>
      </x:c>
      <x:c r="D654" s="50" t="str">
        <x:v>TEAM-02</x:v>
      </x:c>
    </x:row>
    <x:row r="655">
      <x:c r="A655" s="50" t="str">
        <x:v>SYN0652</x:v>
      </x:c>
      <x:c r="B655" s="51" t="n">
        <x:v>46232</x:v>
      </x:c>
      <x:c r="C655" s="50" t="str">
        <x:v>Employer</x:v>
      </x:c>
      <x:c r="D655" s="50" t="str">
        <x:v>TEAM-01</x:v>
      </x:c>
    </x:row>
    <x:row r="656">
      <x:c r="A656" s="50" t="str">
        <x:v>SYN0653</x:v>
      </x:c>
      <x:c r="B656" s="51" t="n">
        <x:v>46170</x:v>
      </x:c>
      <x:c r="C656" s="50" t="str">
        <x:v>Direct</x:v>
      </x:c>
      <x:c r="D656" s="50" t="str">
        <x:v>TEAM-01</x:v>
      </x:c>
    </x:row>
    <x:row r="657">
      <x:c r="A657" s="50" t="str">
        <x:v>SYN0654</x:v>
      </x:c>
      <x:c r="B657" s="51" t="n">
        <x:v>46182</x:v>
      </x:c>
      <x:c r="C657" s="50" t="str">
        <x:v>Direct</x:v>
      </x:c>
      <x:c r="D657" s="50" t="str">
        <x:v>TEAM-01</x:v>
      </x:c>
    </x:row>
    <x:row r="658">
      <x:c r="A658" s="50" t="str">
        <x:v>SYN0655</x:v>
      </x:c>
      <x:c r="B658" s="51" t="n">
        <x:v>46090</x:v>
      </x:c>
      <x:c r="C658" s="50" t="str">
        <x:v>Direct</x:v>
      </x:c>
      <x:c r="D658" s="50" t="str">
        <x:v>TEAM-01</x:v>
      </x:c>
    </x:row>
    <x:row r="659">
      <x:c r="A659" s="50" t="str">
        <x:v>SYN0656</x:v>
      </x:c>
      <x:c r="B659" s="51" t="n">
        <x:v>46114</x:v>
      </x:c>
      <x:c r="C659" s="50" t="str">
        <x:v>Direct</x:v>
      </x:c>
      <x:c r="D659" s="50" t="str">
        <x:v>TEAM-06</x:v>
      </x:c>
    </x:row>
    <x:row r="660">
      <x:c r="A660" s="50" t="str">
        <x:v>SYN0657</x:v>
      </x:c>
      <x:c r="B660" s="51" t="n">
        <x:v>46084</x:v>
      </x:c>
      <x:c r="C660" s="50" t="str">
        <x:v>Direct</x:v>
      </x:c>
      <x:c r="D660" s="50" t="str">
        <x:v>TEAM-02</x:v>
      </x:c>
    </x:row>
    <x:row r="661">
      <x:c r="A661" s="50" t="str">
        <x:v>SYN0658</x:v>
      </x:c>
      <x:c r="B661" s="51" t="n">
        <x:v>46157</x:v>
      </x:c>
      <x:c r="C661" s="50" t="str">
        <x:v>Employer</x:v>
      </x:c>
      <x:c r="D661" s="50" t="str">
        <x:v>TEAM-02</x:v>
      </x:c>
    </x:row>
    <x:row r="662">
      <x:c r="A662" s="50" t="str">
        <x:v>SYN0659</x:v>
      </x:c>
      <x:c r="B662" s="51" t="n">
        <x:v>46049</x:v>
      </x:c>
      <x:c r="C662" s="50" t="str">
        <x:v>Direct</x:v>
      </x:c>
      <x:c r="D662" s="50" t="str">
        <x:v>TEAM-04</x:v>
      </x:c>
    </x:row>
    <x:row r="663">
      <x:c r="A663" s="50" t="str">
        <x:v>SYN0660</x:v>
      </x:c>
      <x:c r="B663" s="51" t="n">
        <x:v>46158</x:v>
      </x:c>
      <x:c r="C663" s="50" t="str">
        <x:v>Employer</x:v>
      </x:c>
      <x:c r="D663" s="50" t="str">
        <x:v>TEAM-01</x:v>
      </x:c>
    </x:row>
    <x:row r="664">
      <x:c r="A664" s="50" t="str">
        <x:v>SYN0661</x:v>
      </x:c>
      <x:c r="B664" s="51" t="n">
        <x:v>46173</x:v>
      </x:c>
      <x:c r="C664" s="50" t="str">
        <x:v>Direct</x:v>
      </x:c>
      <x:c r="D664" s="50" t="str">
        <x:v>TEAM-03</x:v>
      </x:c>
    </x:row>
    <x:row r="665">
      <x:c r="A665" s="50" t="str">
        <x:v>SYN0662</x:v>
      </x:c>
      <x:c r="B665" s="51" t="n">
        <x:v>46091</x:v>
      </x:c>
      <x:c r="C665" s="50" t="str">
        <x:v>Direct</x:v>
      </x:c>
      <x:c r="D665" s="50" t="str">
        <x:v>TEAM-05</x:v>
      </x:c>
    </x:row>
    <x:row r="666">
      <x:c r="A666" s="50" t="str">
        <x:v>SYN0663</x:v>
      </x:c>
      <x:c r="B666" s="51" t="n">
        <x:v>46108</x:v>
      </x:c>
      <x:c r="C666" s="50" t="str">
        <x:v>Direct</x:v>
      </x:c>
      <x:c r="D666" s="50" t="str">
        <x:v>TEAM-05</x:v>
      </x:c>
    </x:row>
    <x:row r="667">
      <x:c r="A667" s="50" t="str">
        <x:v>SYN0664</x:v>
      </x:c>
      <x:c r="B667" s="51" t="n">
        <x:v>46039</x:v>
      </x:c>
      <x:c r="C667" s="50" t="str">
        <x:v>Direct</x:v>
      </x:c>
      <x:c r="D667" s="50" t="str">
        <x:v>TEAM-01</x:v>
      </x:c>
    </x:row>
    <x:row r="668">
      <x:c r="A668" s="50" t="str">
        <x:v>SYN0665</x:v>
      </x:c>
      <x:c r="B668" s="51" t="n">
        <x:v>46156</x:v>
      </x:c>
      <x:c r="C668" s="50" t="str">
        <x:v>Direct</x:v>
      </x:c>
      <x:c r="D668" s="50" t="str">
        <x:v>TEAM-02</x:v>
      </x:c>
    </x:row>
    <x:row r="669">
      <x:c r="A669" s="50" t="str">
        <x:v>SYN0666</x:v>
      </x:c>
      <x:c r="B669" s="51" t="n">
        <x:v>46069</x:v>
      </x:c>
      <x:c r="C669" s="50" t="str">
        <x:v>Direct</x:v>
      </x:c>
      <x:c r="D669" s="50" t="str">
        <x:v>TEAM-06</x:v>
      </x:c>
    </x:row>
    <x:row r="670">
      <x:c r="A670" s="50" t="str">
        <x:v>SYN0667</x:v>
      </x:c>
      <x:c r="B670" s="51" t="n">
        <x:v>46173</x:v>
      </x:c>
      <x:c r="C670" s="50" t="str">
        <x:v>Employer</x:v>
      </x:c>
      <x:c r="D670" s="50" t="str">
        <x:v>TEAM-05</x:v>
      </x:c>
    </x:row>
    <x:row r="671">
      <x:c r="A671" s="50" t="str">
        <x:v>SYN0668</x:v>
      </x:c>
      <x:c r="B671" s="51" t="n">
        <x:v>46141</x:v>
      </x:c>
      <x:c r="C671" s="50" t="str">
        <x:v>Direct</x:v>
      </x:c>
      <x:c r="D671" s="50" t="str">
        <x:v>TEAM-05</x:v>
      </x:c>
    </x:row>
    <x:row r="672">
      <x:c r="A672" s="50" t="str">
        <x:v>SYN0669</x:v>
      </x:c>
      <x:c r="B672" s="51" t="n">
        <x:v>46162</x:v>
      </x:c>
      <x:c r="C672" s="50" t="str">
        <x:v>Employer</x:v>
      </x:c>
      <x:c r="D672" s="50" t="str">
        <x:v>TEAM-02</x:v>
      </x:c>
    </x:row>
    <x:row r="673">
      <x:c r="A673" s="50" t="str">
        <x:v>SYN0670</x:v>
      </x:c>
      <x:c r="B673" s="51" t="n">
        <x:v>46198</x:v>
      </x:c>
      <x:c r="C673" s="50" t="str">
        <x:v>Employer</x:v>
      </x:c>
      <x:c r="D673" s="50" t="str">
        <x:v>TEAM-02</x:v>
      </x:c>
    </x:row>
    <x:row r="674">
      <x:c r="A674" s="50" t="str">
        <x:v>SYN0671</x:v>
      </x:c>
      <x:c r="B674" s="51" t="n">
        <x:v>46257</x:v>
      </x:c>
      <x:c r="C674" s="50" t="str">
        <x:v>Direct</x:v>
      </x:c>
      <x:c r="D674" s="50" t="str">
        <x:v>TEAM-01</x:v>
      </x:c>
    </x:row>
    <x:row r="675">
      <x:c r="A675" s="50" t="str">
        <x:v>SYN0672</x:v>
      </x:c>
      <x:c r="B675" s="51" t="n">
        <x:v>46031</x:v>
      </x:c>
      <x:c r="C675" s="50" t="str">
        <x:v>Direct</x:v>
      </x:c>
      <x:c r="D675" s="50" t="str">
        <x:v>TEAM-03</x:v>
      </x:c>
    </x:row>
    <x:row r="676">
      <x:c r="A676" s="50" t="str">
        <x:v>SYN0673</x:v>
      </x:c>
      <x:c r="B676" s="51" t="n">
        <x:v>46171</x:v>
      </x:c>
      <x:c r="C676" s="50" t="str">
        <x:v>Employer</x:v>
      </x:c>
      <x:c r="D676" s="50" t="str">
        <x:v>TEAM-01</x:v>
      </x:c>
    </x:row>
    <x:row r="677">
      <x:c r="A677" s="50" t="str">
        <x:v>SYN0674</x:v>
      </x:c>
      <x:c r="B677" s="51" t="n">
        <x:v>46093</x:v>
      </x:c>
      <x:c r="C677" s="50" t="str">
        <x:v>Direct</x:v>
      </x:c>
      <x:c r="D677" s="50" t="str">
        <x:v>TEAM-03</x:v>
      </x:c>
    </x:row>
    <x:row r="678">
      <x:c r="A678" s="50" t="str">
        <x:v>SYN0675</x:v>
      </x:c>
      <x:c r="B678" s="51" t="n">
        <x:v>46046</x:v>
      </x:c>
      <x:c r="C678" s="50" t="str">
        <x:v>Employer</x:v>
      </x:c>
      <x:c r="D678" s="50" t="str">
        <x:v>TEAM-02</x:v>
      </x:c>
    </x:row>
    <x:row r="679">
      <x:c r="A679" s="50" t="str">
        <x:v>SYN0676</x:v>
      </x:c>
      <x:c r="B679" s="51" t="n">
        <x:v>46171</x:v>
      </x:c>
      <x:c r="C679" s="50" t="str">
        <x:v>Direct</x:v>
      </x:c>
      <x:c r="D679" s="50" t="str">
        <x:v>TEAM-01</x:v>
      </x:c>
    </x:row>
    <x:row r="680">
      <x:c r="A680" s="50" t="str">
        <x:v>SYN0677</x:v>
      </x:c>
      <x:c r="B680" s="51" t="n">
        <x:v>46023</x:v>
      </x:c>
      <x:c r="C680" s="50" t="str">
        <x:v>Direct</x:v>
      </x:c>
      <x:c r="D680" s="50" t="str">
        <x:v>TEAM-03</x:v>
      </x:c>
    </x:row>
    <x:row r="681">
      <x:c r="A681" s="50" t="str">
        <x:v>SYN0678</x:v>
      </x:c>
      <x:c r="B681" s="51" t="n">
        <x:v>46120</x:v>
      </x:c>
      <x:c r="C681" s="50" t="str">
        <x:v>Direct</x:v>
      </x:c>
      <x:c r="D681" s="50" t="str">
        <x:v>TEAM-01</x:v>
      </x:c>
    </x:row>
    <x:row r="682">
      <x:c r="A682" s="50" t="str">
        <x:v>SYN0679</x:v>
      </x:c>
      <x:c r="B682" s="51" t="n">
        <x:v>46076</x:v>
      </x:c>
      <x:c r="C682" s="50" t="str">
        <x:v>Employer</x:v>
      </x:c>
      <x:c r="D682" s="50" t="str">
        <x:v>TEAM-03</x:v>
      </x:c>
    </x:row>
    <x:row r="683">
      <x:c r="A683" s="50" t="str">
        <x:v>SYN0680</x:v>
      </x:c>
      <x:c r="B683" s="51" t="n">
        <x:v>46119</x:v>
      </x:c>
      <x:c r="C683" s="50" t="str">
        <x:v>Direct</x:v>
      </x:c>
      <x:c r="D683" s="50" t="str">
        <x:v>TEAM-06</x:v>
      </x:c>
    </x:row>
    <x:row r="684">
      <x:c r="A684" s="50" t="str">
        <x:v>SYN0681</x:v>
      </x:c>
      <x:c r="B684" s="51" t="n">
        <x:v>46166</x:v>
      </x:c>
      <x:c r="C684" s="50" t="str">
        <x:v>Employer</x:v>
      </x:c>
      <x:c r="D684" s="50" t="str">
        <x:v>TEAM-06</x:v>
      </x:c>
    </x:row>
    <x:row r="685">
      <x:c r="A685" s="50" t="str">
        <x:v>SYN0682</x:v>
      </x:c>
      <x:c r="B685" s="51" t="n">
        <x:v>46047</x:v>
      </x:c>
      <x:c r="C685" s="50" t="str">
        <x:v>Employer</x:v>
      </x:c>
      <x:c r="D685" s="50" t="str">
        <x:v>TEAM-03</x:v>
      </x:c>
    </x:row>
    <x:row r="686">
      <x:c r="A686" s="50" t="str">
        <x:v>SYN0683</x:v>
      </x:c>
      <x:c r="B686" s="51" t="n">
        <x:v>46081</x:v>
      </x:c>
      <x:c r="C686" s="50" t="str">
        <x:v>Direct</x:v>
      </x:c>
      <x:c r="D686" s="50" t="str">
        <x:v>TEAM-04</x:v>
      </x:c>
    </x:row>
    <x:row r="687">
      <x:c r="A687" s="50" t="str">
        <x:v>SYN0684</x:v>
      </x:c>
      <x:c r="B687" s="51" t="n">
        <x:v>46111</x:v>
      </x:c>
      <x:c r="C687" s="50" t="str">
        <x:v>Employer</x:v>
      </x:c>
      <x:c r="D687" s="50" t="str">
        <x:v>TEAM-03</x:v>
      </x:c>
    </x:row>
    <x:row r="688">
      <x:c r="A688" s="50" t="str">
        <x:v>SYN0685</x:v>
      </x:c>
      <x:c r="B688" s="51" t="n">
        <x:v>46148</x:v>
      </x:c>
      <x:c r="C688" s="50" t="str">
        <x:v>Direct</x:v>
      </x:c>
      <x:c r="D688" s="50" t="str">
        <x:v>TEAM-02</x:v>
      </x:c>
    </x:row>
    <x:row r="689">
      <x:c r="A689" s="50" t="str">
        <x:v>SYN0686</x:v>
      </x:c>
      <x:c r="B689" s="51" t="n">
        <x:v>46028</x:v>
      </x:c>
      <x:c r="C689" s="50" t="str">
        <x:v>Employer</x:v>
      </x:c>
      <x:c r="D689" s="50" t="str">
        <x:v>TEAM-02</x:v>
      </x:c>
    </x:row>
    <x:row r="690">
      <x:c r="A690" s="50" t="str">
        <x:v>SYN0687</x:v>
      </x:c>
      <x:c r="B690" s="51" t="n">
        <x:v>46154</x:v>
      </x:c>
      <x:c r="C690" s="50" t="str">
        <x:v>Direct</x:v>
      </x:c>
      <x:c r="D690" s="50" t="str">
        <x:v>TEAM-04</x:v>
      </x:c>
    </x:row>
    <x:row r="691">
      <x:c r="A691" s="50" t="str">
        <x:v>SYN0688</x:v>
      </x:c>
      <x:c r="B691" s="51" t="n">
        <x:v>46263</x:v>
      </x:c>
      <x:c r="C691" s="50" t="str">
        <x:v>Employer</x:v>
      </x:c>
      <x:c r="D691" s="50" t="str">
        <x:v>TEAM-06</x:v>
      </x:c>
    </x:row>
    <x:row r="692">
      <x:c r="A692" s="50" t="str">
        <x:v>SYN0689</x:v>
      </x:c>
      <x:c r="B692" s="51" t="n">
        <x:v>46237</x:v>
      </x:c>
      <x:c r="C692" s="50" t="str">
        <x:v>Direct</x:v>
      </x:c>
      <x:c r="D692" s="50" t="str">
        <x:v>TEAM-01</x:v>
      </x:c>
    </x:row>
    <x:row r="693">
      <x:c r="A693" s="50" t="str">
        <x:v>SYN0690</x:v>
      </x:c>
      <x:c r="B693" s="51" t="n">
        <x:v>46258</x:v>
      </x:c>
      <x:c r="C693" s="50" t="str">
        <x:v>Direct</x:v>
      </x:c>
      <x:c r="D693" s="50" t="str">
        <x:v>TEAM-04</x:v>
      </x:c>
    </x:row>
    <x:row r="694">
      <x:c r="A694" s="50" t="str">
        <x:v>SYN0691</x:v>
      </x:c>
      <x:c r="B694" s="51" t="n">
        <x:v>46089</x:v>
      </x:c>
      <x:c r="C694" s="50" t="str">
        <x:v>Direct</x:v>
      </x:c>
      <x:c r="D694" s="50" t="str">
        <x:v>TEAM-03</x:v>
      </x:c>
    </x:row>
    <x:row r="695">
      <x:c r="A695" s="50" t="str">
        <x:v>SYN0692</x:v>
      </x:c>
      <x:c r="B695" s="51" t="n">
        <x:v>46197</x:v>
      </x:c>
      <x:c r="C695" s="50" t="str">
        <x:v>Employer</x:v>
      </x:c>
      <x:c r="D695" s="50" t="str">
        <x:v>TEAM-05</x:v>
      </x:c>
    </x:row>
    <x:row r="696">
      <x:c r="A696" s="50" t="str">
        <x:v>SYN0693</x:v>
      </x:c>
      <x:c r="B696" s="51" t="n">
        <x:v>46115</x:v>
      </x:c>
      <x:c r="C696" s="50" t="str">
        <x:v>Direct</x:v>
      </x:c>
      <x:c r="D696" s="50" t="str">
        <x:v>TEAM-06</x:v>
      </x:c>
    </x:row>
    <x:row r="697">
      <x:c r="A697" s="50" t="str">
        <x:v>SYN0694</x:v>
      </x:c>
      <x:c r="B697" s="51" t="n">
        <x:v>46093</x:v>
      </x:c>
      <x:c r="C697" s="50" t="str">
        <x:v>Direct</x:v>
      </x:c>
      <x:c r="D697" s="50" t="str">
        <x:v>TEAM-01</x:v>
      </x:c>
    </x:row>
    <x:row r="698">
      <x:c r="A698" s="50" t="str">
        <x:v>SYN0695</x:v>
      </x:c>
      <x:c r="B698" s="51" t="n">
        <x:v>46246</x:v>
      </x:c>
      <x:c r="C698" s="50" t="str">
        <x:v>Direct</x:v>
      </x:c>
      <x:c r="D698" s="50" t="str">
        <x:v>TEAM-06</x:v>
      </x:c>
    </x:row>
    <x:row r="699">
      <x:c r="A699" s="50" t="str">
        <x:v>SYN0696</x:v>
      </x:c>
      <x:c r="B699" s="51" t="n">
        <x:v>46184</x:v>
      </x:c>
      <x:c r="C699" s="50" t="str">
        <x:v>Employer</x:v>
      </x:c>
      <x:c r="D699" s="50" t="str">
        <x:v>TEAM-02</x:v>
      </x:c>
    </x:row>
    <x:row r="700">
      <x:c r="A700" s="50" t="str">
        <x:v>SYN0697</x:v>
      </x:c>
      <x:c r="B700" s="51" t="n">
        <x:v>46165</x:v>
      </x:c>
      <x:c r="C700" s="50" t="str">
        <x:v>Direct</x:v>
      </x:c>
      <x:c r="D700" s="50" t="str">
        <x:v>TEAM-03</x:v>
      </x:c>
    </x:row>
    <x:row r="701">
      <x:c r="A701" s="50" t="str">
        <x:v>SYN0698</x:v>
      </x:c>
      <x:c r="B701" s="51" t="n">
        <x:v>46176</x:v>
      </x:c>
      <x:c r="C701" s="50" t="str">
        <x:v>Employer</x:v>
      </x:c>
      <x:c r="D701" s="50" t="str">
        <x:v>TEAM-03</x:v>
      </x:c>
    </x:row>
    <x:row r="702">
      <x:c r="A702" s="50" t="str">
        <x:v>SYN0699</x:v>
      </x:c>
      <x:c r="B702" s="51" t="n">
        <x:v>46262</x:v>
      </x:c>
      <x:c r="C702" s="50" t="str">
        <x:v>Employer</x:v>
      </x:c>
      <x:c r="D702" s="50" t="str">
        <x:v>TEAM-06</x:v>
      </x:c>
    </x:row>
    <x:row r="703">
      <x:c r="A703" s="50" t="str">
        <x:v>SYN0700</x:v>
      </x:c>
      <x:c r="B703" s="51" t="n">
        <x:v>46205</x:v>
      </x:c>
      <x:c r="C703" s="50" t="str">
        <x:v>Direct</x:v>
      </x:c>
      <x:c r="D703" s="50" t="str">
        <x:v>TEAM-04</x:v>
      </x:c>
    </x:row>
    <x:row r="704">
      <x:c r="A704" s="50" t="str">
        <x:v>SYN0701</x:v>
      </x:c>
      <x:c r="B704" s="51" t="n">
        <x:v>46257</x:v>
      </x:c>
      <x:c r="C704" s="50" t="str">
        <x:v>Direct</x:v>
      </x:c>
      <x:c r="D704" s="50" t="str">
        <x:v>TEAM-01</x:v>
      </x:c>
    </x:row>
    <x:row r="705">
      <x:c r="A705" s="50" t="str">
        <x:v>SYN0702</x:v>
      </x:c>
      <x:c r="B705" s="51" t="n">
        <x:v>46102</x:v>
      </x:c>
      <x:c r="C705" s="50" t="str">
        <x:v>Employer</x:v>
      </x:c>
      <x:c r="D705" s="50" t="str">
        <x:v>TEAM-01</x:v>
      </x:c>
    </x:row>
    <x:row r="706">
      <x:c r="A706" s="50" t="str">
        <x:v>SYN0703</x:v>
      </x:c>
      <x:c r="B706" s="51" t="n">
        <x:v>46223</x:v>
      </x:c>
      <x:c r="C706" s="50" t="str">
        <x:v>Direct</x:v>
      </x:c>
      <x:c r="D706" s="50" t="str">
        <x:v>TEAM-05</x:v>
      </x:c>
    </x:row>
    <x:row r="707">
      <x:c r="A707" s="50" t="str">
        <x:v>SYN0704</x:v>
      </x:c>
      <x:c r="B707" s="51" t="n">
        <x:v>46097</x:v>
      </x:c>
      <x:c r="C707" s="50" t="str">
        <x:v>Direct</x:v>
      </x:c>
      <x:c r="D707" s="50" t="str">
        <x:v>TEAM-03</x:v>
      </x:c>
    </x:row>
    <x:row r="708">
      <x:c r="A708" s="50" t="str">
        <x:v>SYN0705</x:v>
      </x:c>
      <x:c r="B708" s="51" t="n">
        <x:v>46029</x:v>
      </x:c>
      <x:c r="C708" s="50" t="str">
        <x:v>Direct</x:v>
      </x:c>
      <x:c r="D708" s="50" t="str">
        <x:v>TEAM-03</x:v>
      </x:c>
    </x:row>
    <x:row r="709">
      <x:c r="A709" s="50" t="str">
        <x:v>SYN0706</x:v>
      </x:c>
      <x:c r="B709" s="51" t="n">
        <x:v>46082</x:v>
      </x:c>
      <x:c r="C709" s="50" t="str">
        <x:v>Direct</x:v>
      </x:c>
      <x:c r="D709" s="50" t="str">
        <x:v>TEAM-06</x:v>
      </x:c>
    </x:row>
    <x:row r="710">
      <x:c r="A710" s="50" t="str">
        <x:v>SYN0707</x:v>
      </x:c>
      <x:c r="B710" s="51" t="n">
        <x:v>46085</x:v>
      </x:c>
      <x:c r="C710" s="50" t="str">
        <x:v>Direct</x:v>
      </x:c>
      <x:c r="D710" s="50" t="str">
        <x:v>TEAM-03</x:v>
      </x:c>
    </x:row>
    <x:row r="711">
      <x:c r="A711" s="50" t="str">
        <x:v>SYN0708</x:v>
      </x:c>
      <x:c r="B711" s="51" t="n">
        <x:v>46213</x:v>
      </x:c>
      <x:c r="C711" s="50" t="str">
        <x:v>Direct</x:v>
      </x:c>
      <x:c r="D711" s="50" t="str">
        <x:v>TEAM-05</x:v>
      </x:c>
    </x:row>
    <x:row r="712">
      <x:c r="A712" s="50" t="str">
        <x:v>SYN0709</x:v>
      </x:c>
      <x:c r="B712" s="51" t="n">
        <x:v>46256</x:v>
      </x:c>
      <x:c r="C712" s="50" t="str">
        <x:v>Direct</x:v>
      </x:c>
      <x:c r="D712" s="50" t="str">
        <x:v>TEAM-01</x:v>
      </x:c>
    </x:row>
    <x:row r="713">
      <x:c r="A713" s="50" t="str">
        <x:v>SYN0710</x:v>
      </x:c>
      <x:c r="B713" s="51" t="n">
        <x:v>46106</x:v>
      </x:c>
      <x:c r="C713" s="50" t="str">
        <x:v>Direct</x:v>
      </x:c>
      <x:c r="D713" s="50" t="str">
        <x:v>TEAM-02</x:v>
      </x:c>
    </x:row>
    <x:row r="714">
      <x:c r="A714" s="50" t="str">
        <x:v>SYN0711</x:v>
      </x:c>
      <x:c r="B714" s="51" t="n">
        <x:v>46225</x:v>
      </x:c>
      <x:c r="C714" s="50" t="str">
        <x:v>Direct</x:v>
      </x:c>
      <x:c r="D714" s="50" t="str">
        <x:v>TEAM-05</x:v>
      </x:c>
    </x:row>
    <x:row r="715">
      <x:c r="A715" s="50" t="str">
        <x:v>SYN0712</x:v>
      </x:c>
      <x:c r="B715" s="51" t="n">
        <x:v>46237</x:v>
      </x:c>
      <x:c r="C715" s="50" t="str">
        <x:v>Direct</x:v>
      </x:c>
      <x:c r="D715" s="50" t="str">
        <x:v>TEAM-02</x:v>
      </x:c>
    </x:row>
    <x:row r="716">
      <x:c r="A716" s="50" t="str">
        <x:v>SYN0713</x:v>
      </x:c>
      <x:c r="B716" s="51" t="n">
        <x:v>46225</x:v>
      </x:c>
      <x:c r="C716" s="50" t="str">
        <x:v>Direct</x:v>
      </x:c>
      <x:c r="D716" s="50" t="str">
        <x:v>TEAM-03</x:v>
      </x:c>
    </x:row>
    <x:row r="717">
      <x:c r="A717" s="50" t="str">
        <x:v>SYN0714</x:v>
      </x:c>
      <x:c r="B717" s="51" t="n">
        <x:v>46057</x:v>
      </x:c>
      <x:c r="C717" s="50" t="str">
        <x:v>Employer</x:v>
      </x:c>
      <x:c r="D717" s="50" t="str">
        <x:v>TEAM-01</x:v>
      </x:c>
    </x:row>
    <x:row r="718">
      <x:c r="A718" s="50" t="str">
        <x:v>SYN0715</x:v>
      </x:c>
      <x:c r="B718" s="51" t="n">
        <x:v>46162</x:v>
      </x:c>
      <x:c r="C718" s="50" t="str">
        <x:v>Direct</x:v>
      </x:c>
      <x:c r="D718" s="50" t="str">
        <x:v>TEAM-02</x:v>
      </x:c>
    </x:row>
    <x:row r="719">
      <x:c r="A719" s="50" t="str">
        <x:v>SYN0716</x:v>
      </x:c>
      <x:c r="B719" s="51" t="n">
        <x:v>46227</x:v>
      </x:c>
      <x:c r="C719" s="50" t="str">
        <x:v>Direct</x:v>
      </x:c>
      <x:c r="D719" s="50" t="str">
        <x:v>TEAM-03</x:v>
      </x:c>
    </x:row>
    <x:row r="720">
      <x:c r="A720" s="50" t="str">
        <x:v>SYN0717</x:v>
      </x:c>
      <x:c r="B720" s="51" t="n">
        <x:v>46249</x:v>
      </x:c>
      <x:c r="C720" s="50" t="str">
        <x:v>Direct</x:v>
      </x:c>
      <x:c r="D720" s="50" t="str">
        <x:v>TEAM-02</x:v>
      </x:c>
    </x:row>
    <x:row r="721">
      <x:c r="A721" s="50" t="str">
        <x:v>SYN0718</x:v>
      </x:c>
      <x:c r="B721" s="51" t="n">
        <x:v>46026</x:v>
      </x:c>
      <x:c r="C721" s="50" t="str">
        <x:v>Employer</x:v>
      </x:c>
      <x:c r="D721" s="50" t="str">
        <x:v>TEAM-02</x:v>
      </x:c>
    </x:row>
    <x:row r="722">
      <x:c r="A722" s="50" t="str">
        <x:v>SYN0719</x:v>
      </x:c>
      <x:c r="B722" s="51" t="n">
        <x:v>46057</x:v>
      </x:c>
      <x:c r="C722" s="50" t="str">
        <x:v>Employer</x:v>
      </x:c>
      <x:c r="D722" s="50" t="str">
        <x:v>TEAM-05</x:v>
      </x:c>
    </x:row>
    <x:row r="723">
      <x:c r="A723" s="50" t="str">
        <x:v>SYN0720</x:v>
      </x:c>
      <x:c r="B723" s="51" t="n">
        <x:v>46137</x:v>
      </x:c>
      <x:c r="C723" s="50" t="str">
        <x:v>Direct</x:v>
      </x:c>
      <x:c r="D723" s="50" t="str">
        <x:v>TEAM-05</x:v>
      </x:c>
    </x:row>
  </x:sheetData>
  <x:pageMargins left="0.7" right="0.7" top="0.75" bottom="0.75" header="0.3" footer="0.3"/>
  <x:tableParts count="1">
    <x:tablePart xmlns:r="http://schemas.openxmlformats.org/officeDocument/2006/relationships" r:id="Rc3a8955014a74e2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</x:cols>
  <x:sheetData>
    <x:row r="1">
      <x:c r="A1" t="str">
        <x:v>Synthetic source data. All events are fictional observations.</x:v>
      </x:c>
    </x:row>
    <x:row r="3" ht="22" customHeight="1">
      <x:c r="A3" s="54" t="str">
        <x:v>event_id</x:v>
      </x:c>
      <x:c r="B3" s="54" t="str">
        <x:v>member_id</x:v>
      </x:c>
      <x:c r="C3" s="54" t="str">
        <x:v>event_type</x:v>
      </x:c>
      <x:c r="D3" s="54" t="str">
        <x:v>event_date</x:v>
      </x:c>
    </x:row>
    <x:row r="4">
      <x:c r="A4" s="50" t="str">
        <x:v>EVT000001</x:v>
      </x:c>
      <x:c r="B4" s="50" t="str">
        <x:v>SYN0001</x:v>
      </x:c>
      <x:c r="C4" s="50" t="str">
        <x:v>coach_contact_completed</x:v>
      </x:c>
      <x:c r="D4" s="51" t="n">
        <x:v>46079</x:v>
      </x:c>
    </x:row>
    <x:row r="5">
      <x:c r="A5" s="50" t="str">
        <x:v>EVT000002</x:v>
      </x:c>
      <x:c r="B5" s="50" t="str">
        <x:v>SYN0001</x:v>
      </x:c>
      <x:c r="C5" s="50" t="str">
        <x:v>day30_checkin_completed</x:v>
      </x:c>
      <x:c r="D5" s="51" t="n">
        <x:v>46097</x:v>
      </x:c>
    </x:row>
    <x:row r="6">
      <x:c r="A6" s="50" t="str">
        <x:v>EVT000003</x:v>
      </x:c>
      <x:c r="B6" s="50" t="str">
        <x:v>SYN0001</x:v>
      </x:c>
      <x:c r="C6" s="50" t="str">
        <x:v>day60_activity_observed</x:v>
      </x:c>
      <x:c r="D6" s="51" t="n">
        <x:v>46133</x:v>
      </x:c>
    </x:row>
    <x:row r="7">
      <x:c r="A7" s="50" t="str">
        <x:v>EVT000004</x:v>
      </x:c>
      <x:c r="B7" s="50" t="str">
        <x:v>SYN0002</x:v>
      </x:c>
      <x:c r="C7" s="50" t="str">
        <x:v>coach_contact_completed</x:v>
      </x:c>
      <x:c r="D7" s="51" t="n">
        <x:v>46177</x:v>
      </x:c>
    </x:row>
    <x:row r="8">
      <x:c r="A8" s="50" t="str">
        <x:v>EVT000005</x:v>
      </x:c>
      <x:c r="B8" s="50" t="str">
        <x:v>SYN0002</x:v>
      </x:c>
      <x:c r="C8" s="50" t="str">
        <x:v>day30_checkin_completed</x:v>
      </x:c>
      <x:c r="D8" s="51" t="n">
        <x:v>46207</x:v>
      </x:c>
    </x:row>
    <x:row r="9">
      <x:c r="A9" s="50" t="str">
        <x:v>EVT000006</x:v>
      </x:c>
      <x:c r="B9" s="50" t="str">
        <x:v>SYN0002</x:v>
      </x:c>
      <x:c r="C9" s="50" t="str">
        <x:v>day60_activity_observed</x:v>
      </x:c>
      <x:c r="D9" s="51" t="n">
        <x:v>46245</x:v>
      </x:c>
    </x:row>
    <x:row r="10">
      <x:c r="A10" s="50" t="str">
        <x:v>EVT000007</x:v>
      </x:c>
      <x:c r="B10" s="50" t="str">
        <x:v>SYN0003</x:v>
      </x:c>
      <x:c r="C10" s="50" t="str">
        <x:v>coach_contact_completed</x:v>
      </x:c>
      <x:c r="D10" s="51" t="n">
        <x:v>46089</x:v>
      </x:c>
    </x:row>
    <x:row r="11">
      <x:c r="A11" s="50" t="str">
        <x:v>EVT000008</x:v>
      </x:c>
      <x:c r="B11" s="50" t="str">
        <x:v>SYN0003</x:v>
      </x:c>
      <x:c r="C11" s="50" t="str">
        <x:v>day30_checkin_completed</x:v>
      </x:c>
      <x:c r="D11" s="51" t="n">
        <x:v>46114</x:v>
      </x:c>
    </x:row>
    <x:row r="12">
      <x:c r="A12" s="50" t="str">
        <x:v>EVT000009</x:v>
      </x:c>
      <x:c r="B12" s="50" t="str">
        <x:v>SYN0003</x:v>
      </x:c>
      <x:c r="C12" s="50" t="str">
        <x:v>day60_activity_observed</x:v>
      </x:c>
      <x:c r="D12" s="51" t="n">
        <x:v>46159</x:v>
      </x:c>
    </x:row>
    <x:row r="13">
      <x:c r="A13" s="50" t="str">
        <x:v>EVT000010</x:v>
      </x:c>
      <x:c r="B13" s="50" t="str">
        <x:v>SYN0004</x:v>
      </x:c>
      <x:c r="C13" s="50" t="str">
        <x:v>coach_contact_completed</x:v>
      </x:c>
      <x:c r="D13" s="51" t="n">
        <x:v>46213</x:v>
      </x:c>
    </x:row>
    <x:row r="14">
      <x:c r="A14" s="50" t="str">
        <x:v>EVT000011</x:v>
      </x:c>
      <x:c r="B14" s="50" t="str">
        <x:v>SYN0005</x:v>
      </x:c>
      <x:c r="C14" s="50" t="str">
        <x:v>day30_checkin_completed</x:v>
      </x:c>
      <x:c r="D14" s="51" t="n">
        <x:v>46143</x:v>
      </x:c>
    </x:row>
    <x:row r="15">
      <x:c r="A15" s="50" t="str">
        <x:v>EVT000012</x:v>
      </x:c>
      <x:c r="B15" s="50" t="str">
        <x:v>SYN0005</x:v>
      </x:c>
      <x:c r="C15" s="50" t="str">
        <x:v>day60_activity_observed</x:v>
      </x:c>
      <x:c r="D15" s="51" t="n">
        <x:v>46170</x:v>
      </x:c>
    </x:row>
    <x:row r="16">
      <x:c r="A16" s="50" t="str">
        <x:v>EVT000013</x:v>
      </x:c>
      <x:c r="B16" s="50" t="str">
        <x:v>SYN0006</x:v>
      </x:c>
      <x:c r="C16" s="50" t="str">
        <x:v>coach_contact_completed</x:v>
      </x:c>
      <x:c r="D16" s="51" t="n">
        <x:v>46164</x:v>
      </x:c>
    </x:row>
    <x:row r="17">
      <x:c r="A17" s="50" t="str">
        <x:v>EVT000014</x:v>
      </x:c>
      <x:c r="B17" s="50" t="str">
        <x:v>SYN0006</x:v>
      </x:c>
      <x:c r="C17" s="50" t="str">
        <x:v>day30_checkin_completed</x:v>
      </x:c>
      <x:c r="D17" s="51" t="n">
        <x:v>46194</x:v>
      </x:c>
    </x:row>
    <x:row r="18">
      <x:c r="A18" s="50" t="str">
        <x:v>EVT000015</x:v>
      </x:c>
      <x:c r="B18" s="50" t="str">
        <x:v>SYN0006</x:v>
      </x:c>
      <x:c r="C18" s="50" t="str">
        <x:v>day60_activity_observed</x:v>
      </x:c>
      <x:c r="D18" s="51" t="n">
        <x:v>46230</x:v>
      </x:c>
    </x:row>
    <x:row r="19">
      <x:c r="A19" s="50" t="str">
        <x:v>EVT000016</x:v>
      </x:c>
      <x:c r="B19" s="50" t="str">
        <x:v>SYN0007</x:v>
      </x:c>
      <x:c r="C19" s="50" t="str">
        <x:v>coach_contact_completed</x:v>
      </x:c>
      <x:c r="D19" s="51" t="n">
        <x:v>46205</x:v>
      </x:c>
    </x:row>
    <x:row r="20">
      <x:c r="A20" s="50" t="str">
        <x:v>EVT000017</x:v>
      </x:c>
      <x:c r="B20" s="50" t="str">
        <x:v>SYN0008</x:v>
      </x:c>
      <x:c r="C20" s="50" t="str">
        <x:v>day30_checkin_completed</x:v>
      </x:c>
      <x:c r="D20" s="51" t="n">
        <x:v>46295</x:v>
      </x:c>
    </x:row>
    <x:row r="21">
      <x:c r="A21" s="50" t="str">
        <x:v>EVT000018</x:v>
      </x:c>
      <x:c r="B21" s="50" t="str">
        <x:v>SYN0009</x:v>
      </x:c>
      <x:c r="C21" s="50" t="str">
        <x:v>coach_contact_completed</x:v>
      </x:c>
      <x:c r="D21" s="51" t="n">
        <x:v>46258</x:v>
      </x:c>
    </x:row>
    <x:row r="22">
      <x:c r="A22" s="50" t="str">
        <x:v>EVT000019</x:v>
      </x:c>
      <x:c r="B22" s="50" t="str">
        <x:v>SYN0010</x:v>
      </x:c>
      <x:c r="C22" s="50" t="str">
        <x:v>coach_contact_completed</x:v>
      </x:c>
      <x:c r="D22" s="51" t="n">
        <x:v>46103</x:v>
      </x:c>
    </x:row>
    <x:row r="23">
      <x:c r="A23" s="50" t="str">
        <x:v>EVT000020</x:v>
      </x:c>
      <x:c r="B23" s="50" t="str">
        <x:v>SYN0010</x:v>
      </x:c>
      <x:c r="C23" s="50" t="str">
        <x:v>day60_activity_observed</x:v>
      </x:c>
      <x:c r="D23" s="51" t="n">
        <x:v>46166</x:v>
      </x:c>
    </x:row>
    <x:row r="24">
      <x:c r="A24" s="50" t="str">
        <x:v>EVT000021</x:v>
      </x:c>
      <x:c r="B24" s="50" t="str">
        <x:v>SYN0011</x:v>
      </x:c>
      <x:c r="C24" s="50" t="str">
        <x:v>coach_contact_completed</x:v>
      </x:c>
      <x:c r="D24" s="51" t="n">
        <x:v>46042</x:v>
      </x:c>
    </x:row>
    <x:row r="25">
      <x:c r="A25" s="50" t="str">
        <x:v>EVT000022</x:v>
      </x:c>
      <x:c r="B25" s="50" t="str">
        <x:v>SYN0011</x:v>
      </x:c>
      <x:c r="C25" s="50" t="str">
        <x:v>day30_checkin_completed</x:v>
      </x:c>
      <x:c r="D25" s="51" t="n">
        <x:v>46070</x:v>
      </x:c>
    </x:row>
    <x:row r="26">
      <x:c r="A26" s="50" t="str">
        <x:v>EVT000023</x:v>
      </x:c>
      <x:c r="B26" s="50" t="str">
        <x:v>SYN0012</x:v>
      </x:c>
      <x:c r="C26" s="50" t="str">
        <x:v>coach_contact_completed</x:v>
      </x:c>
      <x:c r="D26" s="51" t="n">
        <x:v>46031</x:v>
      </x:c>
    </x:row>
    <x:row r="27">
      <x:c r="A27" s="50" t="str">
        <x:v>EVT000024</x:v>
      </x:c>
      <x:c r="B27" s="50" t="str">
        <x:v>SYN0012</x:v>
      </x:c>
      <x:c r="C27" s="50" t="str">
        <x:v>day30_checkin_completed</x:v>
      </x:c>
      <x:c r="D27" s="51" t="n">
        <x:v>46062</x:v>
      </x:c>
    </x:row>
    <x:row r="28">
      <x:c r="A28" s="50" t="str">
        <x:v>EVT000025</x:v>
      </x:c>
      <x:c r="B28" s="50" t="str">
        <x:v>SYN0013</x:v>
      </x:c>
      <x:c r="C28" s="50" t="str">
        <x:v>coach_contact_completed</x:v>
      </x:c>
      <x:c r="D28" s="51" t="n">
        <x:v>46104</x:v>
      </x:c>
    </x:row>
    <x:row r="29">
      <x:c r="A29" s="50" t="str">
        <x:v>EVT000026</x:v>
      </x:c>
      <x:c r="B29" s="50" t="str">
        <x:v>SYN0014</x:v>
      </x:c>
      <x:c r="C29" s="50" t="str">
        <x:v>coach_contact_completed</x:v>
      </x:c>
      <x:c r="D29" s="51" t="n">
        <x:v>46195</x:v>
      </x:c>
    </x:row>
    <x:row r="30">
      <x:c r="A30" s="50" t="str">
        <x:v>EVT000027</x:v>
      </x:c>
      <x:c r="B30" s="50" t="str">
        <x:v>SYN0014</x:v>
      </x:c>
      <x:c r="C30" s="50" t="str">
        <x:v>day60_activity_observed</x:v>
      </x:c>
      <x:c r="D30" s="51" t="n">
        <x:v>46266</x:v>
      </x:c>
    </x:row>
    <x:row r="31">
      <x:c r="A31" s="50" t="str">
        <x:v>EVT000028</x:v>
      </x:c>
      <x:c r="B31" s="50" t="str">
        <x:v>SYN0015</x:v>
      </x:c>
      <x:c r="C31" s="50" t="str">
        <x:v>coach_contact_completed</x:v>
      </x:c>
      <x:c r="D31" s="51" t="n">
        <x:v>46243</x:v>
      </x:c>
    </x:row>
    <x:row r="32">
      <x:c r="A32" s="50" t="str">
        <x:v>EVT000029</x:v>
      </x:c>
      <x:c r="B32" s="50" t="str">
        <x:v>SYN0015</x:v>
      </x:c>
      <x:c r="C32" s="50" t="str">
        <x:v>day30_checkin_completed</x:v>
      </x:c>
      <x:c r="D32" s="51" t="n">
        <x:v>46274</x:v>
      </x:c>
    </x:row>
    <x:row r="33">
      <x:c r="A33" s="50" t="str">
        <x:v>EVT000030</x:v>
      </x:c>
      <x:c r="B33" s="50" t="str">
        <x:v>SYN0016</x:v>
      </x:c>
      <x:c r="C33" s="50" t="str">
        <x:v>coach_contact_completed</x:v>
      </x:c>
      <x:c r="D33" s="51" t="n">
        <x:v>46237</x:v>
      </x:c>
    </x:row>
    <x:row r="34">
      <x:c r="A34" s="50" t="str">
        <x:v>EVT000031</x:v>
      </x:c>
      <x:c r="B34" s="50" t="str">
        <x:v>SYN0016</x:v>
      </x:c>
      <x:c r="C34" s="50" t="str">
        <x:v>day30_checkin_completed</x:v>
      </x:c>
      <x:c r="D34" s="51" t="n">
        <x:v>46267</x:v>
      </x:c>
    </x:row>
    <x:row r="35">
      <x:c r="A35" s="50" t="str">
        <x:v>EVT000032</x:v>
      </x:c>
      <x:c r="B35" s="50" t="str">
        <x:v>SYN0017</x:v>
      </x:c>
      <x:c r="C35" s="50" t="str">
        <x:v>coach_contact_completed</x:v>
      </x:c>
      <x:c r="D35" s="51" t="n">
        <x:v>46263</x:v>
      </x:c>
    </x:row>
    <x:row r="36">
      <x:c r="A36" s="50" t="str">
        <x:v>EVT000033</x:v>
      </x:c>
      <x:c r="B36" s="50" t="str">
        <x:v>SYN0018</x:v>
      </x:c>
      <x:c r="C36" s="50" t="str">
        <x:v>coach_contact_completed</x:v>
      </x:c>
      <x:c r="D36" s="51" t="n">
        <x:v>46239</x:v>
      </x:c>
    </x:row>
    <x:row r="37">
      <x:c r="A37" s="50" t="str">
        <x:v>EVT000034</x:v>
      </x:c>
      <x:c r="B37" s="50" t="str">
        <x:v>SYN0018</x:v>
      </x:c>
      <x:c r="C37" s="50" t="str">
        <x:v>day30_checkin_completed</x:v>
      </x:c>
      <x:c r="D37" s="51" t="n">
        <x:v>46275</x:v>
      </x:c>
    </x:row>
    <x:row r="38">
      <x:c r="A38" s="50" t="str">
        <x:v>EVT000035</x:v>
      </x:c>
      <x:c r="B38" s="50" t="str">
        <x:v>SYN0019</x:v>
      </x:c>
      <x:c r="C38" s="50" t="str">
        <x:v>day30_checkin_completed</x:v>
      </x:c>
      <x:c r="D38" s="51" t="n">
        <x:v>46233</x:v>
      </x:c>
    </x:row>
    <x:row r="39">
      <x:c r="A39" s="50" t="str">
        <x:v>EVT000036</x:v>
      </x:c>
      <x:c r="B39" s="50" t="str">
        <x:v>SYN0020</x:v>
      </x:c>
      <x:c r="C39" s="50" t="str">
        <x:v>coach_contact_completed</x:v>
      </x:c>
      <x:c r="D39" s="51" t="n">
        <x:v>46053</x:v>
      </x:c>
    </x:row>
    <x:row r="40">
      <x:c r="A40" s="50" t="str">
        <x:v>EVT000037</x:v>
      </x:c>
      <x:c r="B40" s="50" t="str">
        <x:v>SYN0021</x:v>
      </x:c>
      <x:c r="C40" s="50" t="str">
        <x:v>coach_contact_completed</x:v>
      </x:c>
      <x:c r="D40" s="51" t="n">
        <x:v>46188</x:v>
      </x:c>
    </x:row>
    <x:row r="41">
      <x:c r="A41" s="50" t="str">
        <x:v>EVT000038</x:v>
      </x:c>
      <x:c r="B41" s="50" t="str">
        <x:v>SYN0021</x:v>
      </x:c>
      <x:c r="C41" s="50" t="str">
        <x:v>day30_checkin_completed</x:v>
      </x:c>
      <x:c r="D41" s="51" t="n">
        <x:v>46216</x:v>
      </x:c>
    </x:row>
    <x:row r="42">
      <x:c r="A42" s="50" t="str">
        <x:v>EVT000039</x:v>
      </x:c>
      <x:c r="B42" s="50" t="str">
        <x:v>SYN0022</x:v>
      </x:c>
      <x:c r="C42" s="50" t="str">
        <x:v>coach_contact_completed</x:v>
      </x:c>
      <x:c r="D42" s="51" t="n">
        <x:v>46130</x:v>
      </x:c>
    </x:row>
    <x:row r="43">
      <x:c r="A43" s="50" t="str">
        <x:v>EVT000040</x:v>
      </x:c>
      <x:c r="B43" s="50" t="str">
        <x:v>SYN0022</x:v>
      </x:c>
      <x:c r="C43" s="50" t="str">
        <x:v>day30_checkin_completed</x:v>
      </x:c>
      <x:c r="D43" s="51" t="n">
        <x:v>46156</x:v>
      </x:c>
    </x:row>
    <x:row r="44">
      <x:c r="A44" s="50" t="str">
        <x:v>EVT000041</x:v>
      </x:c>
      <x:c r="B44" s="50" t="str">
        <x:v>SYN0022</x:v>
      </x:c>
      <x:c r="C44" s="50" t="str">
        <x:v>day60_activity_observed</x:v>
      </x:c>
      <x:c r="D44" s="51" t="n">
        <x:v>46191</x:v>
      </x:c>
    </x:row>
    <x:row r="45">
      <x:c r="A45" s="50" t="str">
        <x:v>EVT000042</x:v>
      </x:c>
      <x:c r="B45" s="50" t="str">
        <x:v>SYN0023</x:v>
      </x:c>
      <x:c r="C45" s="50" t="str">
        <x:v>coach_contact_completed</x:v>
      </x:c>
      <x:c r="D45" s="51" t="n">
        <x:v>46257</x:v>
      </x:c>
    </x:row>
    <x:row r="46">
      <x:c r="A46" s="50" t="str">
        <x:v>EVT000043</x:v>
      </x:c>
      <x:c r="B46" s="50" t="str">
        <x:v>SYN0023</x:v>
      </x:c>
      <x:c r="C46" s="50" t="str">
        <x:v>day30_checkin_completed</x:v>
      </x:c>
      <x:c r="D46" s="51" t="n">
        <x:v>46286</x:v>
      </x:c>
    </x:row>
    <x:row r="47">
      <x:c r="A47" s="50" t="str">
        <x:v>EVT000044</x:v>
      </x:c>
      <x:c r="B47" s="50" t="str">
        <x:v>SYN0024</x:v>
      </x:c>
      <x:c r="C47" s="50" t="str">
        <x:v>day30_checkin_completed</x:v>
      </x:c>
      <x:c r="D47" s="51" t="n">
        <x:v>46241</x:v>
      </x:c>
    </x:row>
    <x:row r="48">
      <x:c r="A48" s="50" t="str">
        <x:v>EVT000045</x:v>
      </x:c>
      <x:c r="B48" s="50" t="str">
        <x:v>SYN0024</x:v>
      </x:c>
      <x:c r="C48" s="50" t="str">
        <x:v>day60_activity_observed</x:v>
      </x:c>
      <x:c r="D48" s="51" t="n">
        <x:v>46277</x:v>
      </x:c>
    </x:row>
    <x:row r="49">
      <x:c r="A49" s="50" t="str">
        <x:v>EVT000046</x:v>
      </x:c>
      <x:c r="B49" s="50" t="str">
        <x:v>SYN0025</x:v>
      </x:c>
      <x:c r="C49" s="50" t="str">
        <x:v>coach_contact_completed</x:v>
      </x:c>
      <x:c r="D49" s="51" t="n">
        <x:v>46127</x:v>
      </x:c>
    </x:row>
    <x:row r="50">
      <x:c r="A50" s="50" t="str">
        <x:v>EVT000047</x:v>
      </x:c>
      <x:c r="B50" s="50" t="str">
        <x:v>SYN0025</x:v>
      </x:c>
      <x:c r="C50" s="50" t="str">
        <x:v>day30_checkin_completed</x:v>
      </x:c>
      <x:c r="D50" s="51" t="n">
        <x:v>46154</x:v>
      </x:c>
    </x:row>
    <x:row r="51">
      <x:c r="A51" s="50" t="str">
        <x:v>EVT000048</x:v>
      </x:c>
      <x:c r="B51" s="50" t="str">
        <x:v>SYN0026</x:v>
      </x:c>
      <x:c r="C51" s="50" t="str">
        <x:v>coach_contact_completed</x:v>
      </x:c>
      <x:c r="D51" s="51" t="n">
        <x:v>46112</x:v>
      </x:c>
    </x:row>
    <x:row r="52">
      <x:c r="A52" s="50" t="str">
        <x:v>EVT000049</x:v>
      </x:c>
      <x:c r="B52" s="50" t="str">
        <x:v>SYN0026</x:v>
      </x:c>
      <x:c r="C52" s="50" t="str">
        <x:v>day30_checkin_completed</x:v>
      </x:c>
      <x:c r="D52" s="51" t="n">
        <x:v>46141</x:v>
      </x:c>
    </x:row>
    <x:row r="53">
      <x:c r="A53" s="50" t="str">
        <x:v>EVT000050</x:v>
      </x:c>
      <x:c r="B53" s="50" t="str">
        <x:v>SYN0026</x:v>
      </x:c>
      <x:c r="C53" s="50" t="str">
        <x:v>day60_activity_observed</x:v>
      </x:c>
      <x:c r="D53" s="51" t="n">
        <x:v>46177</x:v>
      </x:c>
    </x:row>
    <x:row r="54">
      <x:c r="A54" s="50" t="str">
        <x:v>EVT000051</x:v>
      </x:c>
      <x:c r="B54" s="50" t="str">
        <x:v>SYN0027</x:v>
      </x:c>
      <x:c r="C54" s="50" t="str">
        <x:v>coach_contact_completed</x:v>
      </x:c>
      <x:c r="D54" s="51" t="n">
        <x:v>46113</x:v>
      </x:c>
    </x:row>
    <x:row r="55">
      <x:c r="A55" s="50" t="str">
        <x:v>EVT000052</x:v>
      </x:c>
      <x:c r="B55" s="50" t="str">
        <x:v>SYN0027</x:v>
      </x:c>
      <x:c r="C55" s="50" t="str">
        <x:v>day30_checkin_completed</x:v>
      </x:c>
      <x:c r="D55" s="51" t="n">
        <x:v>46139</x:v>
      </x:c>
    </x:row>
    <x:row r="56">
      <x:c r="A56" s="50" t="str">
        <x:v>EVT000053</x:v>
      </x:c>
      <x:c r="B56" s="50" t="str">
        <x:v>SYN0028</x:v>
      </x:c>
      <x:c r="C56" s="50" t="str">
        <x:v>coach_contact_completed</x:v>
      </x:c>
      <x:c r="D56" s="51" t="n">
        <x:v>46081</x:v>
      </x:c>
    </x:row>
    <x:row r="57">
      <x:c r="A57" s="50" t="str">
        <x:v>EVT000054</x:v>
      </x:c>
      <x:c r="B57" s="50" t="str">
        <x:v>SYN0028</x:v>
      </x:c>
      <x:c r="C57" s="50" t="str">
        <x:v>day30_checkin_completed</x:v>
      </x:c>
      <x:c r="D57" s="51" t="n">
        <x:v>46107</x:v>
      </x:c>
    </x:row>
    <x:row r="58">
      <x:c r="A58" s="50" t="str">
        <x:v>EVT000055</x:v>
      </x:c>
      <x:c r="B58" s="50" t="str">
        <x:v>SYN0028</x:v>
      </x:c>
      <x:c r="C58" s="50" t="str">
        <x:v>day60_activity_observed</x:v>
      </x:c>
      <x:c r="D58" s="51" t="n">
        <x:v>46145</x:v>
      </x:c>
    </x:row>
    <x:row r="59">
      <x:c r="A59" s="50" t="str">
        <x:v>EVT000056</x:v>
      </x:c>
      <x:c r="B59" s="50" t="str">
        <x:v>SYN0029</x:v>
      </x:c>
      <x:c r="C59" s="50" t="str">
        <x:v>coach_contact_completed</x:v>
      </x:c>
      <x:c r="D59" s="51" t="n">
        <x:v>46026</x:v>
      </x:c>
    </x:row>
    <x:row r="60">
      <x:c r="A60" s="50" t="str">
        <x:v>EVT000057</x:v>
      </x:c>
      <x:c r="B60" s="50" t="str">
        <x:v>SYN0029</x:v>
      </x:c>
      <x:c r="C60" s="50" t="str">
        <x:v>day30_checkin_completed</x:v>
      </x:c>
      <x:c r="D60" s="51" t="n">
        <x:v>46060</x:v>
      </x:c>
    </x:row>
    <x:row r="61">
      <x:c r="A61" s="50" t="str">
        <x:v>EVT000058</x:v>
      </x:c>
      <x:c r="B61" s="50" t="str">
        <x:v>SYN0029</x:v>
      </x:c>
      <x:c r="C61" s="50" t="str">
        <x:v>day60_activity_observed</x:v>
      </x:c>
      <x:c r="D61" s="51" t="n">
        <x:v>46100</x:v>
      </x:c>
    </x:row>
    <x:row r="62">
      <x:c r="A62" s="50" t="str">
        <x:v>EVT000059</x:v>
      </x:c>
      <x:c r="B62" s="50" t="str">
        <x:v>SYN0030</x:v>
      </x:c>
      <x:c r="C62" s="50" t="str">
        <x:v>coach_contact_completed</x:v>
      </x:c>
      <x:c r="D62" s="51" t="n">
        <x:v>46098</x:v>
      </x:c>
    </x:row>
    <x:row r="63">
      <x:c r="A63" s="50" t="str">
        <x:v>EVT000060</x:v>
      </x:c>
      <x:c r="B63" s="50" t="str">
        <x:v>SYN0031</x:v>
      </x:c>
      <x:c r="C63" s="50" t="str">
        <x:v>coach_contact_completed</x:v>
      </x:c>
      <x:c r="D63" s="51" t="n">
        <x:v>46241</x:v>
      </x:c>
    </x:row>
    <x:row r="64">
      <x:c r="A64" s="50" t="str">
        <x:v>EVT000061</x:v>
      </x:c>
      <x:c r="B64" s="50" t="str">
        <x:v>SYN0031</x:v>
      </x:c>
      <x:c r="C64" s="50" t="str">
        <x:v>day30_checkin_completed</x:v>
      </x:c>
      <x:c r="D64" s="51" t="n">
        <x:v>46271</x:v>
      </x:c>
    </x:row>
    <x:row r="65">
      <x:c r="A65" s="50" t="str">
        <x:v>EVT000062</x:v>
      </x:c>
      <x:c r="B65" s="50" t="str">
        <x:v>SYN0032</x:v>
      </x:c>
      <x:c r="C65" s="50" t="str">
        <x:v>day30_checkin_completed</x:v>
      </x:c>
      <x:c r="D65" s="51" t="n">
        <x:v>46058</x:v>
      </x:c>
    </x:row>
    <x:row r="66">
      <x:c r="A66" s="50" t="str">
        <x:v>EVT000063</x:v>
      </x:c>
      <x:c r="B66" s="50" t="str">
        <x:v>SYN0032</x:v>
      </x:c>
      <x:c r="C66" s="50" t="str">
        <x:v>day60_activity_observed</x:v>
      </x:c>
      <x:c r="D66" s="51" t="n">
        <x:v>46093</x:v>
      </x:c>
    </x:row>
    <x:row r="67">
      <x:c r="A67" s="50" t="str">
        <x:v>EVT000064</x:v>
      </x:c>
      <x:c r="B67" s="50" t="str">
        <x:v>SYN0033</x:v>
      </x:c>
      <x:c r="C67" s="50" t="str">
        <x:v>coach_contact_completed</x:v>
      </x:c>
      <x:c r="D67" s="51" t="n">
        <x:v>46225</x:v>
      </x:c>
    </x:row>
    <x:row r="68">
      <x:c r="A68" s="50" t="str">
        <x:v>EVT000065</x:v>
      </x:c>
      <x:c r="B68" s="50" t="str">
        <x:v>SYN0033</x:v>
      </x:c>
      <x:c r="C68" s="50" t="str">
        <x:v>day30_checkin_completed</x:v>
      </x:c>
      <x:c r="D68" s="51" t="n">
        <x:v>46252</x:v>
      </x:c>
    </x:row>
    <x:row r="69">
      <x:c r="A69" s="50" t="str">
        <x:v>EVT000066</x:v>
      </x:c>
      <x:c r="B69" s="50" t="str">
        <x:v>SYN0034</x:v>
      </x:c>
      <x:c r="C69" s="50" t="str">
        <x:v>day30_checkin_completed</x:v>
      </x:c>
      <x:c r="D69" s="51" t="n">
        <x:v>46228</x:v>
      </x:c>
    </x:row>
    <x:row r="70">
      <x:c r="A70" s="50" t="str">
        <x:v>EVT000067</x:v>
      </x:c>
      <x:c r="B70" s="50" t="str">
        <x:v>SYN0035</x:v>
      </x:c>
      <x:c r="C70" s="50" t="str">
        <x:v>day30_checkin_completed</x:v>
      </x:c>
      <x:c r="D70" s="51" t="n">
        <x:v>46251</x:v>
      </x:c>
    </x:row>
    <x:row r="71">
      <x:c r="A71" s="50" t="str">
        <x:v>EVT000068</x:v>
      </x:c>
      <x:c r="B71" s="50" t="str">
        <x:v>SYN0035</x:v>
      </x:c>
      <x:c r="C71" s="50" t="str">
        <x:v>day60_activity_observed</x:v>
      </x:c>
      <x:c r="D71" s="51" t="n">
        <x:v>46288</x:v>
      </x:c>
    </x:row>
    <x:row r="72">
      <x:c r="A72" s="50" t="str">
        <x:v>EVT000069</x:v>
      </x:c>
      <x:c r="B72" s="50" t="str">
        <x:v>SYN0036</x:v>
      </x:c>
      <x:c r="C72" s="50" t="str">
        <x:v>coach_contact_completed</x:v>
      </x:c>
      <x:c r="D72" s="51" t="n">
        <x:v>46053</x:v>
      </x:c>
    </x:row>
    <x:row r="73">
      <x:c r="A73" s="50" t="str">
        <x:v>EVT000070</x:v>
      </x:c>
      <x:c r="B73" s="50" t="str">
        <x:v>SYN0036</x:v>
      </x:c>
      <x:c r="C73" s="50" t="str">
        <x:v>day30_checkin_completed</x:v>
      </x:c>
      <x:c r="D73" s="51" t="n">
        <x:v>46087</x:v>
      </x:c>
    </x:row>
    <x:row r="74">
      <x:c r="A74" s="50" t="str">
        <x:v>EVT000071</x:v>
      </x:c>
      <x:c r="B74" s="50" t="str">
        <x:v>SYN0036</x:v>
      </x:c>
      <x:c r="C74" s="50" t="str">
        <x:v>day60_activity_observed</x:v>
      </x:c>
      <x:c r="D74" s="51" t="n">
        <x:v>46126</x:v>
      </x:c>
    </x:row>
    <x:row r="75">
      <x:c r="A75" s="50" t="str">
        <x:v>EVT000072</x:v>
      </x:c>
      <x:c r="B75" s="50" t="str">
        <x:v>SYN0037</x:v>
      </x:c>
      <x:c r="C75" s="50" t="str">
        <x:v>coach_contact_completed</x:v>
      </x:c>
      <x:c r="D75" s="51" t="n">
        <x:v>46035</x:v>
      </x:c>
    </x:row>
    <x:row r="76">
      <x:c r="A76" s="50" t="str">
        <x:v>EVT000073</x:v>
      </x:c>
      <x:c r="B76" s="50" t="str">
        <x:v>SYN0037</x:v>
      </x:c>
      <x:c r="C76" s="50" t="str">
        <x:v>day30_checkin_completed</x:v>
      </x:c>
      <x:c r="D76" s="51" t="n">
        <x:v>46068</x:v>
      </x:c>
    </x:row>
    <x:row r="77">
      <x:c r="A77" s="50" t="str">
        <x:v>EVT000074</x:v>
      </x:c>
      <x:c r="B77" s="50" t="str">
        <x:v>SYN0037</x:v>
      </x:c>
      <x:c r="C77" s="50" t="str">
        <x:v>day60_activity_observed</x:v>
      </x:c>
      <x:c r="D77" s="51" t="n">
        <x:v>46105</x:v>
      </x:c>
    </x:row>
    <x:row r="78">
      <x:c r="A78" s="50" t="str">
        <x:v>EVT000075</x:v>
      </x:c>
      <x:c r="B78" s="50" t="str">
        <x:v>SYN0038</x:v>
      </x:c>
      <x:c r="C78" s="50" t="str">
        <x:v>coach_contact_completed</x:v>
      </x:c>
      <x:c r="D78" s="51" t="n">
        <x:v>46092</x:v>
      </x:c>
    </x:row>
    <x:row r="79">
      <x:c r="A79" s="50" t="str">
        <x:v>EVT000076</x:v>
      </x:c>
      <x:c r="B79" s="50" t="str">
        <x:v>SYN0038</x:v>
      </x:c>
      <x:c r="C79" s="50" t="str">
        <x:v>day30_checkin_completed</x:v>
      </x:c>
      <x:c r="D79" s="51" t="n">
        <x:v>46120</x:v>
      </x:c>
    </x:row>
    <x:row r="80">
      <x:c r="A80" s="50" t="str">
        <x:v>EVT000077</x:v>
      </x:c>
      <x:c r="B80" s="50" t="str">
        <x:v>SYN0038</x:v>
      </x:c>
      <x:c r="C80" s="50" t="str">
        <x:v>day60_activity_observed</x:v>
      </x:c>
      <x:c r="D80" s="51" t="n">
        <x:v>46148</x:v>
      </x:c>
    </x:row>
    <x:row r="81">
      <x:c r="A81" s="50" t="str">
        <x:v>EVT000078</x:v>
      </x:c>
      <x:c r="B81" s="50" t="str">
        <x:v>SYN0039</x:v>
      </x:c>
      <x:c r="C81" s="50" t="str">
        <x:v>coach_contact_completed</x:v>
      </x:c>
      <x:c r="D81" s="51" t="n">
        <x:v>46245</x:v>
      </x:c>
    </x:row>
    <x:row r="82">
      <x:c r="A82" s="50" t="str">
        <x:v>EVT000079</x:v>
      </x:c>
      <x:c r="B82" s="50" t="str">
        <x:v>SYN0039</x:v>
      </x:c>
      <x:c r="C82" s="50" t="str">
        <x:v>day30_checkin_completed</x:v>
      </x:c>
      <x:c r="D82" s="51" t="n">
        <x:v>46274</x:v>
      </x:c>
    </x:row>
    <x:row r="83">
      <x:c r="A83" s="50" t="str">
        <x:v>EVT000080</x:v>
      </x:c>
      <x:c r="B83" s="50" t="str">
        <x:v>SYN0040</x:v>
      </x:c>
      <x:c r="C83" s="50" t="str">
        <x:v>coach_contact_completed</x:v>
      </x:c>
      <x:c r="D83" s="51" t="n">
        <x:v>46116</x:v>
      </x:c>
    </x:row>
    <x:row r="84">
      <x:c r="A84" s="50" t="str">
        <x:v>EVT000081</x:v>
      </x:c>
      <x:c r="B84" s="50" t="str">
        <x:v>SYN0040</x:v>
      </x:c>
      <x:c r="C84" s="50" t="str">
        <x:v>day30_checkin_completed</x:v>
      </x:c>
      <x:c r="D84" s="51" t="n">
        <x:v>46148</x:v>
      </x:c>
    </x:row>
    <x:row r="85">
      <x:c r="A85" s="50" t="str">
        <x:v>EVT000082</x:v>
      </x:c>
      <x:c r="B85" s="50" t="str">
        <x:v>SYN0040</x:v>
      </x:c>
      <x:c r="C85" s="50" t="str">
        <x:v>day60_activity_observed</x:v>
      </x:c>
      <x:c r="D85" s="51" t="n">
        <x:v>46177</x:v>
      </x:c>
    </x:row>
    <x:row r="86">
      <x:c r="A86" s="50" t="str">
        <x:v>EVT000083</x:v>
      </x:c>
      <x:c r="B86" s="50" t="str">
        <x:v>SYN0041</x:v>
      </x:c>
      <x:c r="C86" s="50" t="str">
        <x:v>coach_contact_completed</x:v>
      </x:c>
      <x:c r="D86" s="51" t="n">
        <x:v>46175</x:v>
      </x:c>
    </x:row>
    <x:row r="87">
      <x:c r="A87" s="50" t="str">
        <x:v>EVT000084</x:v>
      </x:c>
      <x:c r="B87" s="50" t="str">
        <x:v>SYN0041</x:v>
      </x:c>
      <x:c r="C87" s="50" t="str">
        <x:v>day30_checkin_completed</x:v>
      </x:c>
      <x:c r="D87" s="51" t="n">
        <x:v>46207</x:v>
      </x:c>
    </x:row>
    <x:row r="88">
      <x:c r="A88" s="50" t="str">
        <x:v>EVT000085</x:v>
      </x:c>
      <x:c r="B88" s="50" t="str">
        <x:v>SYN0042</x:v>
      </x:c>
      <x:c r="C88" s="50" t="str">
        <x:v>coach_contact_completed</x:v>
      </x:c>
      <x:c r="D88" s="51" t="n">
        <x:v>46233</x:v>
      </x:c>
    </x:row>
    <x:row r="89">
      <x:c r="A89" s="50" t="str">
        <x:v>EVT000086</x:v>
      </x:c>
      <x:c r="B89" s="50" t="str">
        <x:v>SYN0042</x:v>
      </x:c>
      <x:c r="C89" s="50" t="str">
        <x:v>day30_checkin_completed</x:v>
      </x:c>
      <x:c r="D89" s="51" t="n">
        <x:v>46268</x:v>
      </x:c>
    </x:row>
    <x:row r="90">
      <x:c r="A90" s="50" t="str">
        <x:v>EVT000087</x:v>
      </x:c>
      <x:c r="B90" s="50" t="str">
        <x:v>SYN0043</x:v>
      </x:c>
      <x:c r="C90" s="50" t="str">
        <x:v>coach_contact_completed</x:v>
      </x:c>
      <x:c r="D90" s="51" t="n">
        <x:v>46066</x:v>
      </x:c>
    </x:row>
    <x:row r="91">
      <x:c r="A91" s="50" t="str">
        <x:v>EVT000088</x:v>
      </x:c>
      <x:c r="B91" s="50" t="str">
        <x:v>SYN0043</x:v>
      </x:c>
      <x:c r="C91" s="50" t="str">
        <x:v>day60_activity_observed</x:v>
      </x:c>
      <x:c r="D91" s="51" t="n">
        <x:v>46125</x:v>
      </x:c>
    </x:row>
    <x:row r="92">
      <x:c r="A92" s="50" t="str">
        <x:v>EVT000089</x:v>
      </x:c>
      <x:c r="B92" s="50" t="str">
        <x:v>SYN0044</x:v>
      </x:c>
      <x:c r="C92" s="50" t="str">
        <x:v>day30_checkin_completed</x:v>
      </x:c>
      <x:c r="D92" s="51" t="n">
        <x:v>46221</x:v>
      </x:c>
    </x:row>
    <x:row r="93">
      <x:c r="A93" s="50" t="str">
        <x:v>EVT000090</x:v>
      </x:c>
      <x:c r="B93" s="50" t="str">
        <x:v>SYN0045</x:v>
      </x:c>
      <x:c r="C93" s="50" t="str">
        <x:v>coach_contact_completed</x:v>
      </x:c>
      <x:c r="D93" s="51" t="n">
        <x:v>46175</x:v>
      </x:c>
    </x:row>
    <x:row r="94">
      <x:c r="A94" s="50" t="str">
        <x:v>EVT000091</x:v>
      </x:c>
      <x:c r="B94" s="50" t="str">
        <x:v>SYN0046</x:v>
      </x:c>
      <x:c r="C94" s="50" t="str">
        <x:v>coach_contact_completed</x:v>
      </x:c>
      <x:c r="D94" s="51" t="n">
        <x:v>46115</x:v>
      </x:c>
    </x:row>
    <x:row r="95">
      <x:c r="A95" s="50" t="str">
        <x:v>EVT000092</x:v>
      </x:c>
      <x:c r="B95" s="50" t="str">
        <x:v>SYN0046</x:v>
      </x:c>
      <x:c r="C95" s="50" t="str">
        <x:v>day30_checkin_completed</x:v>
      </x:c>
      <x:c r="D95" s="51" t="n">
        <x:v>46144</x:v>
      </x:c>
    </x:row>
    <x:row r="96">
      <x:c r="A96" s="50" t="str">
        <x:v>EVT000093</x:v>
      </x:c>
      <x:c r="B96" s="50" t="str">
        <x:v>SYN0047</x:v>
      </x:c>
      <x:c r="C96" s="50" t="str">
        <x:v>coach_contact_completed</x:v>
      </x:c>
      <x:c r="D96" s="51" t="n">
        <x:v>46150</x:v>
      </x:c>
    </x:row>
    <x:row r="97">
      <x:c r="A97" s="50" t="str">
        <x:v>EVT000094</x:v>
      </x:c>
      <x:c r="B97" s="50" t="str">
        <x:v>SYN0047</x:v>
      </x:c>
      <x:c r="C97" s="50" t="str">
        <x:v>day60_activity_observed</x:v>
      </x:c>
      <x:c r="D97" s="51" t="n">
        <x:v>46219</x:v>
      </x:c>
    </x:row>
    <x:row r="98">
      <x:c r="A98" s="50" t="str">
        <x:v>EVT000095</x:v>
      </x:c>
      <x:c r="B98" s="50" t="str">
        <x:v>SYN0048</x:v>
      </x:c>
      <x:c r="C98" s="50" t="str">
        <x:v>day30_checkin_completed</x:v>
      </x:c>
      <x:c r="D98" s="51" t="n">
        <x:v>46204</x:v>
      </x:c>
    </x:row>
    <x:row r="99">
      <x:c r="A99" s="50" t="str">
        <x:v>EVT000096</x:v>
      </x:c>
      <x:c r="B99" s="50" t="str">
        <x:v>SYN0048</x:v>
      </x:c>
      <x:c r="C99" s="50" t="str">
        <x:v>day60_activity_observed</x:v>
      </x:c>
      <x:c r="D99" s="51" t="n">
        <x:v>46234</x:v>
      </x:c>
    </x:row>
    <x:row r="100">
      <x:c r="A100" s="50" t="str">
        <x:v>EVT000097</x:v>
      </x:c>
      <x:c r="B100" s="50" t="str">
        <x:v>SYN0049</x:v>
      </x:c>
      <x:c r="C100" s="50" t="str">
        <x:v>coach_contact_completed</x:v>
      </x:c>
      <x:c r="D100" s="51" t="n">
        <x:v>46073</x:v>
      </x:c>
    </x:row>
    <x:row r="101">
      <x:c r="A101" s="50" t="str">
        <x:v>EVT000098</x:v>
      </x:c>
      <x:c r="B101" s="50" t="str">
        <x:v>SYN0049</x:v>
      </x:c>
      <x:c r="C101" s="50" t="str">
        <x:v>day30_checkin_completed</x:v>
      </x:c>
      <x:c r="D101" s="51" t="n">
        <x:v>46101</x:v>
      </x:c>
    </x:row>
    <x:row r="102">
      <x:c r="A102" s="50" t="str">
        <x:v>EVT000099</x:v>
      </x:c>
      <x:c r="B102" s="50" t="str">
        <x:v>SYN0049</x:v>
      </x:c>
      <x:c r="C102" s="50" t="str">
        <x:v>day60_activity_observed</x:v>
      </x:c>
      <x:c r="D102" s="51" t="n">
        <x:v>46137</x:v>
      </x:c>
    </x:row>
    <x:row r="103">
      <x:c r="A103" s="50" t="str">
        <x:v>EVT000100</x:v>
      </x:c>
      <x:c r="B103" s="50" t="str">
        <x:v>SYN0050</x:v>
      </x:c>
      <x:c r="C103" s="50" t="str">
        <x:v>coach_contact_completed</x:v>
      </x:c>
      <x:c r="D103" s="51" t="n">
        <x:v>46120</x:v>
      </x:c>
    </x:row>
    <x:row r="104">
      <x:c r="A104" s="50" t="str">
        <x:v>EVT000101</x:v>
      </x:c>
      <x:c r="B104" s="50" t="str">
        <x:v>SYN0050</x:v>
      </x:c>
      <x:c r="C104" s="50" t="str">
        <x:v>day30_checkin_completed</x:v>
      </x:c>
      <x:c r="D104" s="51" t="n">
        <x:v>46148</x:v>
      </x:c>
    </x:row>
    <x:row r="105">
      <x:c r="A105" s="50" t="str">
        <x:v>EVT000102</x:v>
      </x:c>
      <x:c r="B105" s="50" t="str">
        <x:v>SYN0051</x:v>
      </x:c>
      <x:c r="C105" s="50" t="str">
        <x:v>coach_contact_completed</x:v>
      </x:c>
      <x:c r="D105" s="51" t="n">
        <x:v>46191</x:v>
      </x:c>
    </x:row>
    <x:row r="106">
      <x:c r="A106" s="50" t="str">
        <x:v>EVT000103</x:v>
      </x:c>
      <x:c r="B106" s="50" t="str">
        <x:v>SYN0051</x:v>
      </x:c>
      <x:c r="C106" s="50" t="str">
        <x:v>day30_checkin_completed</x:v>
      </x:c>
      <x:c r="D106" s="51" t="n">
        <x:v>46224</x:v>
      </x:c>
    </x:row>
    <x:row r="107">
      <x:c r="A107" s="50" t="str">
        <x:v>EVT000104</x:v>
      </x:c>
      <x:c r="B107" s="50" t="str">
        <x:v>SYN0052</x:v>
      </x:c>
      <x:c r="C107" s="50" t="str">
        <x:v>coach_contact_completed</x:v>
      </x:c>
      <x:c r="D107" s="51" t="n">
        <x:v>46272</x:v>
      </x:c>
    </x:row>
    <x:row r="108">
      <x:c r="A108" s="50" t="str">
        <x:v>EVT000105</x:v>
      </x:c>
      <x:c r="B108" s="50" t="str">
        <x:v>SYN0052</x:v>
      </x:c>
      <x:c r="C108" s="50" t="str">
        <x:v>day30_checkin_completed</x:v>
      </x:c>
      <x:c r="D108" s="51" t="n">
        <x:v>46293</x:v>
      </x:c>
    </x:row>
    <x:row r="109">
      <x:c r="A109" s="50" t="str">
        <x:v>EVT000106</x:v>
      </x:c>
      <x:c r="B109" s="50" t="str">
        <x:v>SYN0053</x:v>
      </x:c>
      <x:c r="C109" s="50" t="str">
        <x:v>coach_contact_completed</x:v>
      </x:c>
      <x:c r="D109" s="51" t="n">
        <x:v>46151</x:v>
      </x:c>
    </x:row>
    <x:row r="110">
      <x:c r="A110" s="50" t="str">
        <x:v>EVT000107</x:v>
      </x:c>
      <x:c r="B110" s="50" t="str">
        <x:v>SYN0053</x:v>
      </x:c>
      <x:c r="C110" s="50" t="str">
        <x:v>day30_checkin_completed</x:v>
      </x:c>
      <x:c r="D110" s="51" t="n">
        <x:v>46185</x:v>
      </x:c>
    </x:row>
    <x:row r="111">
      <x:c r="A111" s="50" t="str">
        <x:v>EVT000108</x:v>
      </x:c>
      <x:c r="B111" s="50" t="str">
        <x:v>SYN0053</x:v>
      </x:c>
      <x:c r="C111" s="50" t="str">
        <x:v>day60_activity_observed</x:v>
      </x:c>
      <x:c r="D111" s="51" t="n">
        <x:v>46211</x:v>
      </x:c>
    </x:row>
    <x:row r="112">
      <x:c r="A112" s="50" t="str">
        <x:v>EVT000109</x:v>
      </x:c>
      <x:c r="B112" s="50" t="str">
        <x:v>SYN0054</x:v>
      </x:c>
      <x:c r="C112" s="50" t="str">
        <x:v>coach_contact_completed</x:v>
      </x:c>
      <x:c r="D112" s="51" t="n">
        <x:v>46041</x:v>
      </x:c>
    </x:row>
    <x:row r="113">
      <x:c r="A113" s="50" t="str">
        <x:v>EVT000110</x:v>
      </x:c>
      <x:c r="B113" s="50" t="str">
        <x:v>SYN0054</x:v>
      </x:c>
      <x:c r="C113" s="50" t="str">
        <x:v>day60_activity_observed</x:v>
      </x:c>
      <x:c r="D113" s="51" t="n">
        <x:v>46107</x:v>
      </x:c>
    </x:row>
    <x:row r="114">
      <x:c r="A114" s="50" t="str">
        <x:v>EVT000111</x:v>
      </x:c>
      <x:c r="B114" s="50" t="str">
        <x:v>SYN0055</x:v>
      </x:c>
      <x:c r="C114" s="50" t="str">
        <x:v>coach_contact_completed</x:v>
      </x:c>
      <x:c r="D114" s="51" t="n">
        <x:v>46215</x:v>
      </x:c>
    </x:row>
    <x:row r="115">
      <x:c r="A115" s="50" t="str">
        <x:v>EVT000112</x:v>
      </x:c>
      <x:c r="B115" s="50" t="str">
        <x:v>SYN0055</x:v>
      </x:c>
      <x:c r="C115" s="50" t="str">
        <x:v>day60_activity_observed</x:v>
      </x:c>
      <x:c r="D115" s="51" t="n">
        <x:v>46279</x:v>
      </x:c>
    </x:row>
    <x:row r="116">
      <x:c r="A116" s="50" t="str">
        <x:v>EVT000113</x:v>
      </x:c>
      <x:c r="B116" s="50" t="str">
        <x:v>SYN0056</x:v>
      </x:c>
      <x:c r="C116" s="50" t="str">
        <x:v>coach_contact_completed</x:v>
      </x:c>
      <x:c r="D116" s="51" t="n">
        <x:v>46093</x:v>
      </x:c>
    </x:row>
    <x:row r="117">
      <x:c r="A117" s="50" t="str">
        <x:v>EVT000114</x:v>
      </x:c>
      <x:c r="B117" s="50" t="str">
        <x:v>SYN0056</x:v>
      </x:c>
      <x:c r="C117" s="50" t="str">
        <x:v>day30_checkin_completed</x:v>
      </x:c>
      <x:c r="D117" s="51" t="n">
        <x:v>46127</x:v>
      </x:c>
    </x:row>
    <x:row r="118">
      <x:c r="A118" s="50" t="str">
        <x:v>EVT000115</x:v>
      </x:c>
      <x:c r="B118" s="50" t="str">
        <x:v>SYN0056</x:v>
      </x:c>
      <x:c r="C118" s="50" t="str">
        <x:v>day60_activity_observed</x:v>
      </x:c>
      <x:c r="D118" s="51" t="n">
        <x:v>46156</x:v>
      </x:c>
    </x:row>
    <x:row r="119">
      <x:c r="A119" s="50" t="str">
        <x:v>EVT000116</x:v>
      </x:c>
      <x:c r="B119" s="50" t="str">
        <x:v>SYN0057</x:v>
      </x:c>
      <x:c r="C119" s="50" t="str">
        <x:v>coach_contact_completed</x:v>
      </x:c>
      <x:c r="D119" s="51" t="n">
        <x:v>46166</x:v>
      </x:c>
    </x:row>
    <x:row r="120">
      <x:c r="A120" s="50" t="str">
        <x:v>EVT000117</x:v>
      </x:c>
      <x:c r="B120" s="50" t="str">
        <x:v>SYN0057</x:v>
      </x:c>
      <x:c r="C120" s="50" t="str">
        <x:v>day30_checkin_completed</x:v>
      </x:c>
      <x:c r="D120" s="51" t="n">
        <x:v>46188</x:v>
      </x:c>
    </x:row>
    <x:row r="121">
      <x:c r="A121" s="50" t="str">
        <x:v>EVT000118</x:v>
      </x:c>
      <x:c r="B121" s="50" t="str">
        <x:v>SYN0057</x:v>
      </x:c>
      <x:c r="C121" s="50" t="str">
        <x:v>day60_activity_observed</x:v>
      </x:c>
      <x:c r="D121" s="51" t="n">
        <x:v>46226</x:v>
      </x:c>
    </x:row>
    <x:row r="122">
      <x:c r="A122" s="50" t="str">
        <x:v>EVT000119</x:v>
      </x:c>
      <x:c r="B122" s="50" t="str">
        <x:v>SYN0058</x:v>
      </x:c>
      <x:c r="C122" s="50" t="str">
        <x:v>coach_contact_completed</x:v>
      </x:c>
      <x:c r="D122" s="51" t="n">
        <x:v>46128</x:v>
      </x:c>
    </x:row>
    <x:row r="123">
      <x:c r="A123" s="50" t="str">
        <x:v>EVT000120</x:v>
      </x:c>
      <x:c r="B123" s="50" t="str">
        <x:v>SYN0059</x:v>
      </x:c>
      <x:c r="C123" s="50" t="str">
        <x:v>coach_contact_completed</x:v>
      </x:c>
      <x:c r="D123" s="51" t="n">
        <x:v>46190</x:v>
      </x:c>
    </x:row>
    <x:row r="124">
      <x:c r="A124" s="50" t="str">
        <x:v>EVT000121</x:v>
      </x:c>
      <x:c r="B124" s="50" t="str">
        <x:v>SYN0059</x:v>
      </x:c>
      <x:c r="C124" s="50" t="str">
        <x:v>day30_checkin_completed</x:v>
      </x:c>
      <x:c r="D124" s="51" t="n">
        <x:v>46217</x:v>
      </x:c>
    </x:row>
    <x:row r="125">
      <x:c r="A125" s="50" t="str">
        <x:v>EVT000122</x:v>
      </x:c>
      <x:c r="B125" s="50" t="str">
        <x:v>SYN0060</x:v>
      </x:c>
      <x:c r="C125" s="50" t="str">
        <x:v>coach_contact_completed</x:v>
      </x:c>
      <x:c r="D125" s="51" t="n">
        <x:v>46100</x:v>
      </x:c>
    </x:row>
    <x:row r="126">
      <x:c r="A126" s="50" t="str">
        <x:v>EVT000123</x:v>
      </x:c>
      <x:c r="B126" s="50" t="str">
        <x:v>SYN0061</x:v>
      </x:c>
      <x:c r="C126" s="50" t="str">
        <x:v>day30_checkin_completed</x:v>
      </x:c>
      <x:c r="D126" s="51" t="n">
        <x:v>46112</x:v>
      </x:c>
    </x:row>
    <x:row r="127">
      <x:c r="A127" s="50" t="str">
        <x:v>EVT000124</x:v>
      </x:c>
      <x:c r="B127" s="50" t="str">
        <x:v>SYN0062</x:v>
      </x:c>
      <x:c r="C127" s="50" t="str">
        <x:v>coach_contact_completed</x:v>
      </x:c>
      <x:c r="D127" s="51" t="n">
        <x:v>46032</x:v>
      </x:c>
    </x:row>
    <x:row r="128">
      <x:c r="A128" s="50" t="str">
        <x:v>EVT000125</x:v>
      </x:c>
      <x:c r="B128" s="50" t="str">
        <x:v>SYN0062</x:v>
      </x:c>
      <x:c r="C128" s="50" t="str">
        <x:v>day30_checkin_completed</x:v>
      </x:c>
      <x:c r="D128" s="51" t="n">
        <x:v>46068</x:v>
      </x:c>
    </x:row>
    <x:row r="129">
      <x:c r="A129" s="50" t="str">
        <x:v>EVT000126</x:v>
      </x:c>
      <x:c r="B129" s="50" t="str">
        <x:v>SYN0062</x:v>
      </x:c>
      <x:c r="C129" s="50" t="str">
        <x:v>day60_activity_observed</x:v>
      </x:c>
      <x:c r="D129" s="51" t="n">
        <x:v>46097</x:v>
      </x:c>
    </x:row>
    <x:row r="130">
      <x:c r="A130" s="50" t="str">
        <x:v>EVT000127</x:v>
      </x:c>
      <x:c r="B130" s="50" t="str">
        <x:v>SYN0063</x:v>
      </x:c>
      <x:c r="C130" s="50" t="str">
        <x:v>coach_contact_completed</x:v>
      </x:c>
      <x:c r="D130" s="51" t="n">
        <x:v>46096</x:v>
      </x:c>
    </x:row>
    <x:row r="131">
      <x:c r="A131" s="50" t="str">
        <x:v>EVT000128</x:v>
      </x:c>
      <x:c r="B131" s="50" t="str">
        <x:v>SYN0063</x:v>
      </x:c>
      <x:c r="C131" s="50" t="str">
        <x:v>day60_activity_observed</x:v>
      </x:c>
      <x:c r="D131" s="51" t="n">
        <x:v>46157</x:v>
      </x:c>
    </x:row>
    <x:row r="132">
      <x:c r="A132" s="50" t="str">
        <x:v>EVT000129</x:v>
      </x:c>
      <x:c r="B132" s="50" t="str">
        <x:v>SYN0064</x:v>
      </x:c>
      <x:c r="C132" s="50" t="str">
        <x:v>coach_contact_completed</x:v>
      </x:c>
      <x:c r="D132" s="51" t="n">
        <x:v>46121</x:v>
      </x:c>
    </x:row>
    <x:row r="133">
      <x:c r="A133" s="50" t="str">
        <x:v>EVT000130</x:v>
      </x:c>
      <x:c r="B133" s="50" t="str">
        <x:v>SYN0065</x:v>
      </x:c>
      <x:c r="C133" s="50" t="str">
        <x:v>day30_checkin_completed</x:v>
      </x:c>
      <x:c r="D133" s="51" t="n">
        <x:v>46286</x:v>
      </x:c>
    </x:row>
    <x:row r="134">
      <x:c r="A134" s="50" t="str">
        <x:v>EVT000131</x:v>
      </x:c>
      <x:c r="B134" s="50" t="str">
        <x:v>SYN0066</x:v>
      </x:c>
      <x:c r="C134" s="50" t="str">
        <x:v>coach_contact_completed</x:v>
      </x:c>
      <x:c r="D134" s="51" t="n">
        <x:v>46265</x:v>
      </x:c>
    </x:row>
    <x:row r="135">
      <x:c r="A135" s="50" t="str">
        <x:v>EVT000132</x:v>
      </x:c>
      <x:c r="B135" s="50" t="str">
        <x:v>SYN0066</x:v>
      </x:c>
      <x:c r="C135" s="50" t="str">
        <x:v>day30_checkin_completed</x:v>
      </x:c>
      <x:c r="D135" s="51" t="n">
        <x:v>46290</x:v>
      </x:c>
    </x:row>
    <x:row r="136">
      <x:c r="A136" s="50" t="str">
        <x:v>EVT000133</x:v>
      </x:c>
      <x:c r="B136" s="50" t="str">
        <x:v>SYN0067</x:v>
      </x:c>
      <x:c r="C136" s="50" t="str">
        <x:v>day30_checkin_completed</x:v>
      </x:c>
      <x:c r="D136" s="51" t="n">
        <x:v>46257</x:v>
      </x:c>
    </x:row>
    <x:row r="137">
      <x:c r="A137" s="50" t="str">
        <x:v>EVT000134</x:v>
      </x:c>
      <x:c r="B137" s="50" t="str">
        <x:v>SYN0068</x:v>
      </x:c>
      <x:c r="C137" s="50" t="str">
        <x:v>coach_contact_completed</x:v>
      </x:c>
      <x:c r="D137" s="51" t="n">
        <x:v>46107</x:v>
      </x:c>
    </x:row>
    <x:row r="138">
      <x:c r="A138" s="50" t="str">
        <x:v>EVT000135</x:v>
      </x:c>
      <x:c r="B138" s="50" t="str">
        <x:v>SYN0068</x:v>
      </x:c>
      <x:c r="C138" s="50" t="str">
        <x:v>day30_checkin_completed</x:v>
      </x:c>
      <x:c r="D138" s="51" t="n">
        <x:v>46143</x:v>
      </x:c>
    </x:row>
    <x:row r="139">
      <x:c r="A139" s="50" t="str">
        <x:v>EVT000136</x:v>
      </x:c>
      <x:c r="B139" s="50" t="str">
        <x:v>SYN0068</x:v>
      </x:c>
      <x:c r="C139" s="50" t="str">
        <x:v>day60_activity_observed</x:v>
      </x:c>
      <x:c r="D139" s="51" t="n">
        <x:v>46177</x:v>
      </x:c>
    </x:row>
    <x:row r="140">
      <x:c r="A140" s="50" t="str">
        <x:v>EVT000137</x:v>
      </x:c>
      <x:c r="B140" s="50" t="str">
        <x:v>SYN0069</x:v>
      </x:c>
      <x:c r="C140" s="50" t="str">
        <x:v>coach_contact_completed</x:v>
      </x:c>
      <x:c r="D140" s="51" t="n">
        <x:v>46238</x:v>
      </x:c>
    </x:row>
    <x:row r="141">
      <x:c r="A141" s="50" t="str">
        <x:v>EVT000138</x:v>
      </x:c>
      <x:c r="B141" s="50" t="str">
        <x:v>SYN0069</x:v>
      </x:c>
      <x:c r="C141" s="50" t="str">
        <x:v>day30_checkin_completed</x:v>
      </x:c>
      <x:c r="D141" s="51" t="n">
        <x:v>46264</x:v>
      </x:c>
    </x:row>
    <x:row r="142">
      <x:c r="A142" s="50" t="str">
        <x:v>EVT000139</x:v>
      </x:c>
      <x:c r="B142" s="50" t="str">
        <x:v>SYN0070</x:v>
      </x:c>
      <x:c r="C142" s="50" t="str">
        <x:v>coach_contact_completed</x:v>
      </x:c>
      <x:c r="D142" s="51" t="n">
        <x:v>46034</x:v>
      </x:c>
    </x:row>
    <x:row r="143">
      <x:c r="A143" s="50" t="str">
        <x:v>EVT000140</x:v>
      </x:c>
      <x:c r="B143" s="50" t="str">
        <x:v>SYN0070</x:v>
      </x:c>
      <x:c r="C143" s="50" t="str">
        <x:v>day30_checkin_completed</x:v>
      </x:c>
      <x:c r="D143" s="51" t="n">
        <x:v>46067</x:v>
      </x:c>
    </x:row>
    <x:row r="144">
      <x:c r="A144" s="50" t="str">
        <x:v>EVT000141</x:v>
      </x:c>
      <x:c r="B144" s="50" t="str">
        <x:v>SYN0071</x:v>
      </x:c>
      <x:c r="C144" s="50" t="str">
        <x:v>day30_checkin_completed</x:v>
      </x:c>
      <x:c r="D144" s="51" t="n">
        <x:v>46079</x:v>
      </x:c>
    </x:row>
    <x:row r="145">
      <x:c r="A145" s="50" t="str">
        <x:v>EVT000142</x:v>
      </x:c>
      <x:c r="B145" s="50" t="str">
        <x:v>SYN0071</x:v>
      </x:c>
      <x:c r="C145" s="50" t="str">
        <x:v>day60_activity_observed</x:v>
      </x:c>
      <x:c r="D145" s="51" t="n">
        <x:v>46115</x:v>
      </x:c>
    </x:row>
    <x:row r="146">
      <x:c r="A146" s="50" t="str">
        <x:v>EVT000143</x:v>
      </x:c>
      <x:c r="B146" s="50" t="str">
        <x:v>SYN0072</x:v>
      </x:c>
      <x:c r="C146" s="50" t="str">
        <x:v>coach_contact_completed</x:v>
      </x:c>
      <x:c r="D146" s="51" t="n">
        <x:v>46268</x:v>
      </x:c>
    </x:row>
    <x:row r="147">
      <x:c r="A147" s="50" t="str">
        <x:v>EVT000144</x:v>
      </x:c>
      <x:c r="B147" s="50" t="str">
        <x:v>SYN0072</x:v>
      </x:c>
      <x:c r="C147" s="50" t="str">
        <x:v>day30_checkin_completed</x:v>
      </x:c>
      <x:c r="D147" s="51" t="n">
        <x:v>46294</x:v>
      </x:c>
    </x:row>
    <x:row r="148">
      <x:c r="A148" s="50" t="str">
        <x:v>EVT000145</x:v>
      </x:c>
      <x:c r="B148" s="50" t="str">
        <x:v>SYN0073</x:v>
      </x:c>
      <x:c r="C148" s="50" t="str">
        <x:v>coach_contact_completed</x:v>
      </x:c>
      <x:c r="D148" s="51" t="n">
        <x:v>46247</x:v>
      </x:c>
    </x:row>
    <x:row r="149">
      <x:c r="A149" s="50" t="str">
        <x:v>EVT000146</x:v>
      </x:c>
      <x:c r="B149" s="50" t="str">
        <x:v>SYN0074</x:v>
      </x:c>
      <x:c r="C149" s="50" t="str">
        <x:v>coach_contact_completed</x:v>
      </x:c>
      <x:c r="D149" s="51" t="n">
        <x:v>46174</x:v>
      </x:c>
    </x:row>
    <x:row r="150">
      <x:c r="A150" s="50" t="str">
        <x:v>EVT000147</x:v>
      </x:c>
      <x:c r="B150" s="50" t="str">
        <x:v>SYN0074</x:v>
      </x:c>
      <x:c r="C150" s="50" t="str">
        <x:v>day30_checkin_completed</x:v>
      </x:c>
      <x:c r="D150" s="51" t="n">
        <x:v>46198</x:v>
      </x:c>
    </x:row>
    <x:row r="151">
      <x:c r="A151" s="50" t="str">
        <x:v>EVT000148</x:v>
      </x:c>
      <x:c r="B151" s="50" t="str">
        <x:v>SYN0074</x:v>
      </x:c>
      <x:c r="C151" s="50" t="str">
        <x:v>day60_activity_observed</x:v>
      </x:c>
      <x:c r="D151" s="51" t="n">
        <x:v>46226</x:v>
      </x:c>
    </x:row>
    <x:row r="152">
      <x:c r="A152" s="50" t="str">
        <x:v>EVT000149</x:v>
      </x:c>
      <x:c r="B152" s="50" t="str">
        <x:v>SYN0075</x:v>
      </x:c>
      <x:c r="C152" s="50" t="str">
        <x:v>coach_contact_completed</x:v>
      </x:c>
      <x:c r="D152" s="51" t="n">
        <x:v>46131</x:v>
      </x:c>
    </x:row>
    <x:row r="153">
      <x:c r="A153" s="50" t="str">
        <x:v>EVT000150</x:v>
      </x:c>
      <x:c r="B153" s="50" t="str">
        <x:v>SYN0076</x:v>
      </x:c>
      <x:c r="C153" s="50" t="str">
        <x:v>coach_contact_completed</x:v>
      </x:c>
      <x:c r="D153" s="51" t="n">
        <x:v>46166</x:v>
      </x:c>
    </x:row>
    <x:row r="154">
      <x:c r="A154" s="50" t="str">
        <x:v>EVT000151</x:v>
      </x:c>
      <x:c r="B154" s="50" t="str">
        <x:v>SYN0076</x:v>
      </x:c>
      <x:c r="C154" s="50" t="str">
        <x:v>day30_checkin_completed</x:v>
      </x:c>
      <x:c r="D154" s="51" t="n">
        <x:v>46192</x:v>
      </x:c>
    </x:row>
    <x:row r="155">
      <x:c r="A155" s="50" t="str">
        <x:v>EVT000152</x:v>
      </x:c>
      <x:c r="B155" s="50" t="str">
        <x:v>SYN0076</x:v>
      </x:c>
      <x:c r="C155" s="50" t="str">
        <x:v>day60_activity_observed</x:v>
      </x:c>
      <x:c r="D155" s="51" t="n">
        <x:v>46221</x:v>
      </x:c>
    </x:row>
    <x:row r="156">
      <x:c r="A156" s="50" t="str">
        <x:v>EVT000153</x:v>
      </x:c>
      <x:c r="B156" s="50" t="str">
        <x:v>SYN0077</x:v>
      </x:c>
      <x:c r="C156" s="50" t="str">
        <x:v>coach_contact_completed</x:v>
      </x:c>
      <x:c r="D156" s="51" t="n">
        <x:v>46066</x:v>
      </x:c>
    </x:row>
    <x:row r="157">
      <x:c r="A157" s="50" t="str">
        <x:v>EVT000154</x:v>
      </x:c>
      <x:c r="B157" s="50" t="str">
        <x:v>SYN0077</x:v>
      </x:c>
      <x:c r="C157" s="50" t="str">
        <x:v>day30_checkin_completed</x:v>
      </x:c>
      <x:c r="D157" s="51" t="n">
        <x:v>46100</x:v>
      </x:c>
    </x:row>
    <x:row r="158">
      <x:c r="A158" s="50" t="str">
        <x:v>EVT000155</x:v>
      </x:c>
      <x:c r="B158" s="50" t="str">
        <x:v>SYN0077</x:v>
      </x:c>
      <x:c r="C158" s="50" t="str">
        <x:v>day60_activity_observed</x:v>
      </x:c>
      <x:c r="D158" s="51" t="n">
        <x:v>46134</x:v>
      </x:c>
    </x:row>
    <x:row r="159">
      <x:c r="A159" s="50" t="str">
        <x:v>EVT000156</x:v>
      </x:c>
      <x:c r="B159" s="50" t="str">
        <x:v>SYN0078</x:v>
      </x:c>
      <x:c r="C159" s="50" t="str">
        <x:v>day30_checkin_completed</x:v>
      </x:c>
      <x:c r="D159" s="51" t="n">
        <x:v>46232</x:v>
      </x:c>
    </x:row>
    <x:row r="160">
      <x:c r="A160" s="50" t="str">
        <x:v>EVT000157</x:v>
      </x:c>
      <x:c r="B160" s="50" t="str">
        <x:v>SYN0078</x:v>
      </x:c>
      <x:c r="C160" s="50" t="str">
        <x:v>day60_activity_observed</x:v>
      </x:c>
      <x:c r="D160" s="51" t="n">
        <x:v>46265</x:v>
      </x:c>
    </x:row>
    <x:row r="161">
      <x:c r="A161" s="50" t="str">
        <x:v>EVT000158</x:v>
      </x:c>
      <x:c r="B161" s="50" t="str">
        <x:v>SYN0079</x:v>
      </x:c>
      <x:c r="C161" s="50" t="str">
        <x:v>coach_contact_completed</x:v>
      </x:c>
      <x:c r="D161" s="51" t="n">
        <x:v>46139</x:v>
      </x:c>
    </x:row>
    <x:row r="162">
      <x:c r="A162" s="50" t="str">
        <x:v>EVT000159</x:v>
      </x:c>
      <x:c r="B162" s="50" t="str">
        <x:v>SYN0079</x:v>
      </x:c>
      <x:c r="C162" s="50" t="str">
        <x:v>day30_checkin_completed</x:v>
      </x:c>
      <x:c r="D162" s="51" t="n">
        <x:v>46161</x:v>
      </x:c>
    </x:row>
    <x:row r="163">
      <x:c r="A163" s="50" t="str">
        <x:v>EVT000160</x:v>
      </x:c>
      <x:c r="B163" s="50" t="str">
        <x:v>SYN0080</x:v>
      </x:c>
      <x:c r="C163" s="50" t="str">
        <x:v>day30_checkin_completed</x:v>
      </x:c>
      <x:c r="D163" s="51" t="n">
        <x:v>46241</x:v>
      </x:c>
    </x:row>
    <x:row r="164">
      <x:c r="A164" s="50" t="str">
        <x:v>EVT000161</x:v>
      </x:c>
      <x:c r="B164" s="50" t="str">
        <x:v>SYN0080</x:v>
      </x:c>
      <x:c r="C164" s="50" t="str">
        <x:v>day60_activity_observed</x:v>
      </x:c>
      <x:c r="D164" s="51" t="n">
        <x:v>46273</x:v>
      </x:c>
    </x:row>
    <x:row r="165">
      <x:c r="A165" s="50" t="str">
        <x:v>EVT000162</x:v>
      </x:c>
      <x:c r="B165" s="50" t="str">
        <x:v>SYN0081</x:v>
      </x:c>
      <x:c r="C165" s="50" t="str">
        <x:v>coach_contact_completed</x:v>
      </x:c>
      <x:c r="D165" s="51" t="n">
        <x:v>46039</x:v>
      </x:c>
    </x:row>
    <x:row r="166">
      <x:c r="A166" s="50" t="str">
        <x:v>EVT000163</x:v>
      </x:c>
      <x:c r="B166" s="50" t="str">
        <x:v>SYN0081</x:v>
      </x:c>
      <x:c r="C166" s="50" t="str">
        <x:v>day30_checkin_completed</x:v>
      </x:c>
      <x:c r="D166" s="51" t="n">
        <x:v>46076</x:v>
      </x:c>
    </x:row>
    <x:row r="167">
      <x:c r="A167" s="50" t="str">
        <x:v>EVT000164</x:v>
      </x:c>
      <x:c r="B167" s="50" t="str">
        <x:v>SYN0081</x:v>
      </x:c>
      <x:c r="C167" s="50" t="str">
        <x:v>day60_activity_observed</x:v>
      </x:c>
      <x:c r="D167" s="51" t="n">
        <x:v>46107</x:v>
      </x:c>
    </x:row>
    <x:row r="168">
      <x:c r="A168" s="50" t="str">
        <x:v>EVT000165</x:v>
      </x:c>
      <x:c r="B168" s="50" t="str">
        <x:v>SYN0082</x:v>
      </x:c>
      <x:c r="C168" s="50" t="str">
        <x:v>coach_contact_completed</x:v>
      </x:c>
      <x:c r="D168" s="51" t="n">
        <x:v>46135</x:v>
      </x:c>
    </x:row>
    <x:row r="169">
      <x:c r="A169" s="50" t="str">
        <x:v>EVT000166</x:v>
      </x:c>
      <x:c r="B169" s="50" t="str">
        <x:v>SYN0082</x:v>
      </x:c>
      <x:c r="C169" s="50" t="str">
        <x:v>day30_checkin_completed</x:v>
      </x:c>
      <x:c r="D169" s="51" t="n">
        <x:v>46157</x:v>
      </x:c>
    </x:row>
    <x:row r="170">
      <x:c r="A170" s="50" t="str">
        <x:v>EVT000167</x:v>
      </x:c>
      <x:c r="B170" s="50" t="str">
        <x:v>SYN0082</x:v>
      </x:c>
      <x:c r="C170" s="50" t="str">
        <x:v>day60_activity_observed</x:v>
      </x:c>
      <x:c r="D170" s="51" t="n">
        <x:v>46191</x:v>
      </x:c>
    </x:row>
    <x:row r="171">
      <x:c r="A171" s="50" t="str">
        <x:v>EVT000168</x:v>
      </x:c>
      <x:c r="B171" s="50" t="str">
        <x:v>SYN0083</x:v>
      </x:c>
      <x:c r="C171" s="50" t="str">
        <x:v>coach_contact_completed</x:v>
      </x:c>
      <x:c r="D171" s="51" t="n">
        <x:v>46028</x:v>
      </x:c>
    </x:row>
    <x:row r="172">
      <x:c r="A172" s="50" t="str">
        <x:v>EVT000169</x:v>
      </x:c>
      <x:c r="B172" s="50" t="str">
        <x:v>SYN0084</x:v>
      </x:c>
      <x:c r="C172" s="50" t="str">
        <x:v>day30_checkin_completed</x:v>
      </x:c>
      <x:c r="D172" s="51" t="n">
        <x:v>46078</x:v>
      </x:c>
    </x:row>
    <x:row r="173">
      <x:c r="A173" s="50" t="str">
        <x:v>EVT000170</x:v>
      </x:c>
      <x:c r="B173" s="50" t="str">
        <x:v>SYN0085</x:v>
      </x:c>
      <x:c r="C173" s="50" t="str">
        <x:v>coach_contact_completed</x:v>
      </x:c>
      <x:c r="D173" s="51" t="n">
        <x:v>46045</x:v>
      </x:c>
    </x:row>
    <x:row r="174">
      <x:c r="A174" s="50" t="str">
        <x:v>EVT000171</x:v>
      </x:c>
      <x:c r="B174" s="50" t="str">
        <x:v>SYN0085</x:v>
      </x:c>
      <x:c r="C174" s="50" t="str">
        <x:v>day30_checkin_completed</x:v>
      </x:c>
      <x:c r="D174" s="51" t="n">
        <x:v>46065</x:v>
      </x:c>
    </x:row>
    <x:row r="175">
      <x:c r="A175" s="50" t="str">
        <x:v>EVT000172</x:v>
      </x:c>
      <x:c r="B175" s="50" t="str">
        <x:v>SYN0085</x:v>
      </x:c>
      <x:c r="C175" s="50" t="str">
        <x:v>day60_activity_observed</x:v>
      </x:c>
      <x:c r="D175" s="51" t="n">
        <x:v>46103</x:v>
      </x:c>
    </x:row>
    <x:row r="176">
      <x:c r="A176" s="50" t="str">
        <x:v>EVT000173</x:v>
      </x:c>
      <x:c r="B176" s="50" t="str">
        <x:v>SYN0086</x:v>
      </x:c>
      <x:c r="C176" s="50" t="str">
        <x:v>coach_contact_completed</x:v>
      </x:c>
      <x:c r="D176" s="51" t="n">
        <x:v>46057</x:v>
      </x:c>
    </x:row>
    <x:row r="177">
      <x:c r="A177" s="50" t="str">
        <x:v>EVT000174</x:v>
      </x:c>
      <x:c r="B177" s="50" t="str">
        <x:v>SYN0086</x:v>
      </x:c>
      <x:c r="C177" s="50" t="str">
        <x:v>day30_checkin_completed</x:v>
      </x:c>
      <x:c r="D177" s="51" t="n">
        <x:v>46082</x:v>
      </x:c>
    </x:row>
    <x:row r="178">
      <x:c r="A178" s="50" t="str">
        <x:v>EVT000175</x:v>
      </x:c>
      <x:c r="B178" s="50" t="str">
        <x:v>SYN0086</x:v>
      </x:c>
      <x:c r="C178" s="50" t="str">
        <x:v>day60_activity_observed</x:v>
      </x:c>
      <x:c r="D178" s="51" t="n">
        <x:v>46120</x:v>
      </x:c>
    </x:row>
    <x:row r="179">
      <x:c r="A179" s="50" t="str">
        <x:v>EVT000176</x:v>
      </x:c>
      <x:c r="B179" s="50" t="str">
        <x:v>SYN0087</x:v>
      </x:c>
      <x:c r="C179" s="50" t="str">
        <x:v>coach_contact_completed</x:v>
      </x:c>
      <x:c r="D179" s="51" t="n">
        <x:v>46122</x:v>
      </x:c>
    </x:row>
    <x:row r="180">
      <x:c r="A180" s="50" t="str">
        <x:v>EVT000177</x:v>
      </x:c>
      <x:c r="B180" s="50" t="str">
        <x:v>SYN0087</x:v>
      </x:c>
      <x:c r="C180" s="50" t="str">
        <x:v>day30_checkin_completed</x:v>
      </x:c>
      <x:c r="D180" s="51" t="n">
        <x:v>46151</x:v>
      </x:c>
    </x:row>
    <x:row r="181">
      <x:c r="A181" s="50" t="str">
        <x:v>EVT000178</x:v>
      </x:c>
      <x:c r="B181" s="50" t="str">
        <x:v>SYN0088</x:v>
      </x:c>
      <x:c r="C181" s="50" t="str">
        <x:v>coach_contact_completed</x:v>
      </x:c>
      <x:c r="D181" s="51" t="n">
        <x:v>46265</x:v>
      </x:c>
    </x:row>
    <x:row r="182">
      <x:c r="A182" s="50" t="str">
        <x:v>EVT000179</x:v>
      </x:c>
      <x:c r="B182" s="50" t="str">
        <x:v>SYN0089</x:v>
      </x:c>
      <x:c r="C182" s="50" t="str">
        <x:v>coach_contact_completed</x:v>
      </x:c>
      <x:c r="D182" s="51" t="n">
        <x:v>46075</x:v>
      </x:c>
    </x:row>
    <x:row r="183">
      <x:c r="A183" s="50" t="str">
        <x:v>EVT000180</x:v>
      </x:c>
      <x:c r="B183" s="50" t="str">
        <x:v>SYN0089</x:v>
      </x:c>
      <x:c r="C183" s="50" t="str">
        <x:v>day30_checkin_completed</x:v>
      </x:c>
      <x:c r="D183" s="51" t="n">
        <x:v>46102</x:v>
      </x:c>
    </x:row>
    <x:row r="184">
      <x:c r="A184" s="50" t="str">
        <x:v>EVT000181</x:v>
      </x:c>
      <x:c r="B184" s="50" t="str">
        <x:v>SYN0089</x:v>
      </x:c>
      <x:c r="C184" s="50" t="str">
        <x:v>day60_activity_observed</x:v>
      </x:c>
      <x:c r="D184" s="51" t="n">
        <x:v>46139</x:v>
      </x:c>
    </x:row>
    <x:row r="185">
      <x:c r="A185" s="50" t="str">
        <x:v>EVT000182</x:v>
      </x:c>
      <x:c r="B185" s="50" t="str">
        <x:v>SYN0090</x:v>
      </x:c>
      <x:c r="C185" s="50" t="str">
        <x:v>coach_contact_completed</x:v>
      </x:c>
      <x:c r="D185" s="51" t="n">
        <x:v>46105</x:v>
      </x:c>
    </x:row>
    <x:row r="186">
      <x:c r="A186" s="50" t="str">
        <x:v>EVT000183</x:v>
      </x:c>
      <x:c r="B186" s="50" t="str">
        <x:v>SYN0090</x:v>
      </x:c>
      <x:c r="C186" s="50" t="str">
        <x:v>day30_checkin_completed</x:v>
      </x:c>
      <x:c r="D186" s="51" t="n">
        <x:v>46130</x:v>
      </x:c>
    </x:row>
    <x:row r="187">
      <x:c r="A187" s="50" t="str">
        <x:v>EVT000184</x:v>
      </x:c>
      <x:c r="B187" s="50" t="str">
        <x:v>SYN0091</x:v>
      </x:c>
      <x:c r="C187" s="50" t="str">
        <x:v>coach_contact_completed</x:v>
      </x:c>
      <x:c r="D187" s="51" t="n">
        <x:v>46232</x:v>
      </x:c>
    </x:row>
    <x:row r="188">
      <x:c r="A188" s="50" t="str">
        <x:v>EVT000185</x:v>
      </x:c>
      <x:c r="B188" s="50" t="str">
        <x:v>SYN0091</x:v>
      </x:c>
      <x:c r="C188" s="50" t="str">
        <x:v>day30_checkin_completed</x:v>
      </x:c>
      <x:c r="D188" s="51" t="n">
        <x:v>46267</x:v>
      </x:c>
    </x:row>
    <x:row r="189">
      <x:c r="A189" s="50" t="str">
        <x:v>EVT000186</x:v>
      </x:c>
      <x:c r="B189" s="50" t="str">
        <x:v>SYN0093</x:v>
      </x:c>
      <x:c r="C189" s="50" t="str">
        <x:v>coach_contact_completed</x:v>
      </x:c>
      <x:c r="D189" s="51" t="n">
        <x:v>46045</x:v>
      </x:c>
    </x:row>
    <x:row r="190">
      <x:c r="A190" s="50" t="str">
        <x:v>EVT000187</x:v>
      </x:c>
      <x:c r="B190" s="50" t="str">
        <x:v>SYN0093</x:v>
      </x:c>
      <x:c r="C190" s="50" t="str">
        <x:v>day60_activity_observed</x:v>
      </x:c>
      <x:c r="D190" s="51" t="n">
        <x:v>46096</x:v>
      </x:c>
    </x:row>
    <x:row r="191">
      <x:c r="A191" s="50" t="str">
        <x:v>EVT000188</x:v>
      </x:c>
      <x:c r="B191" s="50" t="str">
        <x:v>SYN0094</x:v>
      </x:c>
      <x:c r="C191" s="50" t="str">
        <x:v>coach_contact_completed</x:v>
      </x:c>
      <x:c r="D191" s="51" t="n">
        <x:v>46119</x:v>
      </x:c>
    </x:row>
    <x:row r="192">
      <x:c r="A192" s="50" t="str">
        <x:v>EVT000189</x:v>
      </x:c>
      <x:c r="B192" s="50" t="str">
        <x:v>SYN0094</x:v>
      </x:c>
      <x:c r="C192" s="50" t="str">
        <x:v>day60_activity_observed</x:v>
      </x:c>
      <x:c r="D192" s="51" t="n">
        <x:v>46176</x:v>
      </x:c>
    </x:row>
    <x:row r="193">
      <x:c r="A193" s="50" t="str">
        <x:v>EVT000190</x:v>
      </x:c>
      <x:c r="B193" s="50" t="str">
        <x:v>SYN0095</x:v>
      </x:c>
      <x:c r="C193" s="50" t="str">
        <x:v>coach_contact_completed</x:v>
      </x:c>
      <x:c r="D193" s="51" t="n">
        <x:v>46219</x:v>
      </x:c>
    </x:row>
    <x:row r="194">
      <x:c r="A194" s="50" t="str">
        <x:v>EVT000191</x:v>
      </x:c>
      <x:c r="B194" s="50" t="str">
        <x:v>SYN0095</x:v>
      </x:c>
      <x:c r="C194" s="50" t="str">
        <x:v>day30_checkin_completed</x:v>
      </x:c>
      <x:c r="D194" s="51" t="n">
        <x:v>46252</x:v>
      </x:c>
    </x:row>
    <x:row r="195">
      <x:c r="A195" s="50" t="str">
        <x:v>EVT000192</x:v>
      </x:c>
      <x:c r="B195" s="50" t="str">
        <x:v>SYN0095</x:v>
      </x:c>
      <x:c r="C195" s="50" t="str">
        <x:v>day60_activity_observed</x:v>
      </x:c>
      <x:c r="D195" s="51" t="n">
        <x:v>46288</x:v>
      </x:c>
    </x:row>
    <x:row r="196">
      <x:c r="A196" s="50" t="str">
        <x:v>EVT000193</x:v>
      </x:c>
      <x:c r="B196" s="50" t="str">
        <x:v>SYN0096</x:v>
      </x:c>
      <x:c r="C196" s="50" t="str">
        <x:v>coach_contact_completed</x:v>
      </x:c>
      <x:c r="D196" s="51" t="n">
        <x:v>46133</x:v>
      </x:c>
    </x:row>
    <x:row r="197">
      <x:c r="A197" s="50" t="str">
        <x:v>EVT000194</x:v>
      </x:c>
      <x:c r="B197" s="50" t="str">
        <x:v>SYN0096</x:v>
      </x:c>
      <x:c r="C197" s="50" t="str">
        <x:v>day30_checkin_completed</x:v>
      </x:c>
      <x:c r="D197" s="51" t="n">
        <x:v>46160</x:v>
      </x:c>
    </x:row>
    <x:row r="198">
      <x:c r="A198" s="50" t="str">
        <x:v>EVT000195</x:v>
      </x:c>
      <x:c r="B198" s="50" t="str">
        <x:v>SYN0096</x:v>
      </x:c>
      <x:c r="C198" s="50" t="str">
        <x:v>day60_activity_observed</x:v>
      </x:c>
      <x:c r="D198" s="51" t="n">
        <x:v>46194</x:v>
      </x:c>
    </x:row>
    <x:row r="199">
      <x:c r="A199" s="50" t="str">
        <x:v>EVT000196</x:v>
      </x:c>
      <x:c r="B199" s="50" t="str">
        <x:v>SYN0097</x:v>
      </x:c>
      <x:c r="C199" s="50" t="str">
        <x:v>coach_contact_completed</x:v>
      </x:c>
      <x:c r="D199" s="51" t="n">
        <x:v>46142</x:v>
      </x:c>
    </x:row>
    <x:row r="200">
      <x:c r="A200" s="50" t="str">
        <x:v>EVT000197</x:v>
      </x:c>
      <x:c r="B200" s="50" t="str">
        <x:v>SYN0097</x:v>
      </x:c>
      <x:c r="C200" s="50" t="str">
        <x:v>day30_checkin_completed</x:v>
      </x:c>
      <x:c r="D200" s="51" t="n">
        <x:v>46173</x:v>
      </x:c>
    </x:row>
    <x:row r="201">
      <x:c r="A201" s="50" t="str">
        <x:v>EVT000198</x:v>
      </x:c>
      <x:c r="B201" s="50" t="str">
        <x:v>SYN0097</x:v>
      </x:c>
      <x:c r="C201" s="50" t="str">
        <x:v>day60_activity_observed</x:v>
      </x:c>
      <x:c r="D201" s="51" t="n">
        <x:v>46212</x:v>
      </x:c>
    </x:row>
    <x:row r="202">
      <x:c r="A202" s="50" t="str">
        <x:v>EVT000199</x:v>
      </x:c>
      <x:c r="B202" s="50" t="str">
        <x:v>SYN0098</x:v>
      </x:c>
      <x:c r="C202" s="50" t="str">
        <x:v>coach_contact_completed</x:v>
      </x:c>
      <x:c r="D202" s="51" t="n">
        <x:v>46192</x:v>
      </x:c>
    </x:row>
    <x:row r="203">
      <x:c r="A203" s="50" t="str">
        <x:v>EVT000200</x:v>
      </x:c>
      <x:c r="B203" s="50" t="str">
        <x:v>SYN0098</x:v>
      </x:c>
      <x:c r="C203" s="50" t="str">
        <x:v>day30_checkin_completed</x:v>
      </x:c>
      <x:c r="D203" s="51" t="n">
        <x:v>46219</x:v>
      </x:c>
    </x:row>
    <x:row r="204">
      <x:c r="A204" s="50" t="str">
        <x:v>EVT000201</x:v>
      </x:c>
      <x:c r="B204" s="50" t="str">
        <x:v>SYN0098</x:v>
      </x:c>
      <x:c r="C204" s="50" t="str">
        <x:v>day60_activity_observed</x:v>
      </x:c>
      <x:c r="D204" s="51" t="n">
        <x:v>46256</x:v>
      </x:c>
    </x:row>
    <x:row r="205">
      <x:c r="A205" s="50" t="str">
        <x:v>EVT000202</x:v>
      </x:c>
      <x:c r="B205" s="50" t="str">
        <x:v>SYN0099</x:v>
      </x:c>
      <x:c r="C205" s="50" t="str">
        <x:v>coach_contact_completed</x:v>
      </x:c>
      <x:c r="D205" s="51" t="n">
        <x:v>46052</x:v>
      </x:c>
    </x:row>
    <x:row r="206">
      <x:c r="A206" s="50" t="str">
        <x:v>EVT000203</x:v>
      </x:c>
      <x:c r="B206" s="50" t="str">
        <x:v>SYN0099</x:v>
      </x:c>
      <x:c r="C206" s="50" t="str">
        <x:v>day30_checkin_completed</x:v>
      </x:c>
      <x:c r="D206" s="51" t="n">
        <x:v>46088</x:v>
      </x:c>
    </x:row>
    <x:row r="207">
      <x:c r="A207" s="50" t="str">
        <x:v>EVT000204</x:v>
      </x:c>
      <x:c r="B207" s="50" t="str">
        <x:v>SYN0099</x:v>
      </x:c>
      <x:c r="C207" s="50" t="str">
        <x:v>day60_activity_observed</x:v>
      </x:c>
      <x:c r="D207" s="51" t="n">
        <x:v>46122</x:v>
      </x:c>
    </x:row>
    <x:row r="208">
      <x:c r="A208" s="50" t="str">
        <x:v>EVT000205</x:v>
      </x:c>
      <x:c r="B208" s="50" t="str">
        <x:v>SYN0100</x:v>
      </x:c>
      <x:c r="C208" s="50" t="str">
        <x:v>coach_contact_completed</x:v>
      </x:c>
      <x:c r="D208" s="51" t="n">
        <x:v>46234</x:v>
      </x:c>
    </x:row>
    <x:row r="209">
      <x:c r="A209" s="50" t="str">
        <x:v>EVT000206</x:v>
      </x:c>
      <x:c r="B209" s="50" t="str">
        <x:v>SYN0100</x:v>
      </x:c>
      <x:c r="C209" s="50" t="str">
        <x:v>day30_checkin_completed</x:v>
      </x:c>
      <x:c r="D209" s="51" t="n">
        <x:v>46259</x:v>
      </x:c>
    </x:row>
    <x:row r="210">
      <x:c r="A210" s="50" t="str">
        <x:v>EVT000207</x:v>
      </x:c>
      <x:c r="B210" s="50" t="str">
        <x:v>SYN0101</x:v>
      </x:c>
      <x:c r="C210" s="50" t="str">
        <x:v>coach_contact_completed</x:v>
      </x:c>
      <x:c r="D210" s="51" t="n">
        <x:v>46114</x:v>
      </x:c>
    </x:row>
    <x:row r="211">
      <x:c r="A211" s="50" t="str">
        <x:v>EVT000208</x:v>
      </x:c>
      <x:c r="B211" s="50" t="str">
        <x:v>SYN0101</x:v>
      </x:c>
      <x:c r="C211" s="50" t="str">
        <x:v>day60_activity_observed</x:v>
      </x:c>
      <x:c r="D211" s="51" t="n">
        <x:v>46182</x:v>
      </x:c>
    </x:row>
    <x:row r="212">
      <x:c r="A212" s="50" t="str">
        <x:v>EVT000209</x:v>
      </x:c>
      <x:c r="B212" s="50" t="str">
        <x:v>SYN0102</x:v>
      </x:c>
      <x:c r="C212" s="50" t="str">
        <x:v>coach_contact_completed</x:v>
      </x:c>
      <x:c r="D212" s="51" t="n">
        <x:v>46209</x:v>
      </x:c>
    </x:row>
    <x:row r="213">
      <x:c r="A213" s="50" t="str">
        <x:v>EVT000210</x:v>
      </x:c>
      <x:c r="B213" s="50" t="str">
        <x:v>SYN0102</x:v>
      </x:c>
      <x:c r="C213" s="50" t="str">
        <x:v>day60_activity_observed</x:v>
      </x:c>
      <x:c r="D213" s="51" t="n">
        <x:v>46269</x:v>
      </x:c>
    </x:row>
    <x:row r="214">
      <x:c r="A214" s="50" t="str">
        <x:v>EVT000211</x:v>
      </x:c>
      <x:c r="B214" s="50" t="str">
        <x:v>SYN0103</x:v>
      </x:c>
      <x:c r="C214" s="50" t="str">
        <x:v>coach_contact_completed</x:v>
      </x:c>
      <x:c r="D214" s="51" t="n">
        <x:v>46193</x:v>
      </x:c>
    </x:row>
    <x:row r="215">
      <x:c r="A215" s="50" t="str">
        <x:v>EVT000212</x:v>
      </x:c>
      <x:c r="B215" s="50" t="str">
        <x:v>SYN0103</x:v>
      </x:c>
      <x:c r="C215" s="50" t="str">
        <x:v>day60_activity_observed</x:v>
      </x:c>
      <x:c r="D215" s="51" t="n">
        <x:v>46246</x:v>
      </x:c>
    </x:row>
    <x:row r="216">
      <x:c r="A216" s="50" t="str">
        <x:v>EVT000213</x:v>
      </x:c>
      <x:c r="B216" s="50" t="str">
        <x:v>SYN0104</x:v>
      </x:c>
      <x:c r="C216" s="50" t="str">
        <x:v>day30_checkin_completed</x:v>
      </x:c>
      <x:c r="D216" s="51" t="n">
        <x:v>46218</x:v>
      </x:c>
    </x:row>
    <x:row r="217">
      <x:c r="A217" s="50" t="str">
        <x:v>EVT000214</x:v>
      </x:c>
      <x:c r="B217" s="50" t="str">
        <x:v>SYN0104</x:v>
      </x:c>
      <x:c r="C217" s="50" t="str">
        <x:v>day60_activity_observed</x:v>
      </x:c>
      <x:c r="D217" s="51" t="n">
        <x:v>46249</x:v>
      </x:c>
    </x:row>
    <x:row r="218">
      <x:c r="A218" s="50" t="str">
        <x:v>EVT000215</x:v>
      </x:c>
      <x:c r="B218" s="50" t="str">
        <x:v>SYN0105</x:v>
      </x:c>
      <x:c r="C218" s="50" t="str">
        <x:v>coach_contact_completed</x:v>
      </x:c>
      <x:c r="D218" s="51" t="n">
        <x:v>46174</x:v>
      </x:c>
    </x:row>
    <x:row r="219">
      <x:c r="A219" s="50" t="str">
        <x:v>EVT000216</x:v>
      </x:c>
      <x:c r="B219" s="50" t="str">
        <x:v>SYN0105</x:v>
      </x:c>
      <x:c r="C219" s="50" t="str">
        <x:v>day30_checkin_completed</x:v>
      </x:c>
      <x:c r="D219" s="51" t="n">
        <x:v>46210</x:v>
      </x:c>
    </x:row>
    <x:row r="220">
      <x:c r="A220" s="50" t="str">
        <x:v>EVT000217</x:v>
      </x:c>
      <x:c r="B220" s="50" t="str">
        <x:v>SYN0105</x:v>
      </x:c>
      <x:c r="C220" s="50" t="str">
        <x:v>day60_activity_observed</x:v>
      </x:c>
      <x:c r="D220" s="51" t="n">
        <x:v>46240</x:v>
      </x:c>
    </x:row>
    <x:row r="221">
      <x:c r="A221" s="50" t="str">
        <x:v>EVT000218</x:v>
      </x:c>
      <x:c r="B221" s="50" t="str">
        <x:v>SYN0106</x:v>
      </x:c>
      <x:c r="C221" s="50" t="str">
        <x:v>coach_contact_completed</x:v>
      </x:c>
      <x:c r="D221" s="51" t="n">
        <x:v>46254</x:v>
      </x:c>
    </x:row>
    <x:row r="222">
      <x:c r="A222" s="50" t="str">
        <x:v>EVT000219</x:v>
      </x:c>
      <x:c r="B222" s="50" t="str">
        <x:v>SYN0106</x:v>
      </x:c>
      <x:c r="C222" s="50" t="str">
        <x:v>day30_checkin_completed</x:v>
      </x:c>
      <x:c r="D222" s="51" t="n">
        <x:v>46277</x:v>
      </x:c>
    </x:row>
    <x:row r="223">
      <x:c r="A223" s="50" t="str">
        <x:v>EVT000220</x:v>
      </x:c>
      <x:c r="B223" s="50" t="str">
        <x:v>SYN0107</x:v>
      </x:c>
      <x:c r="C223" s="50" t="str">
        <x:v>day30_checkin_completed</x:v>
      </x:c>
      <x:c r="D223" s="51" t="n">
        <x:v>46096</x:v>
      </x:c>
    </x:row>
    <x:row r="224">
      <x:c r="A224" s="50" t="str">
        <x:v>EVT000221</x:v>
      </x:c>
      <x:c r="B224" s="50" t="str">
        <x:v>SYN0107</x:v>
      </x:c>
      <x:c r="C224" s="50" t="str">
        <x:v>day60_activity_observed</x:v>
      </x:c>
      <x:c r="D224" s="51" t="n">
        <x:v>46129</x:v>
      </x:c>
    </x:row>
    <x:row r="225">
      <x:c r="A225" s="50" t="str">
        <x:v>EVT000222</x:v>
      </x:c>
      <x:c r="B225" s="50" t="str">
        <x:v>SYN0108</x:v>
      </x:c>
      <x:c r="C225" s="50" t="str">
        <x:v>coach_contact_completed</x:v>
      </x:c>
      <x:c r="D225" s="51" t="n">
        <x:v>46212</x:v>
      </x:c>
    </x:row>
    <x:row r="226">
      <x:c r="A226" s="50" t="str">
        <x:v>EVT000223</x:v>
      </x:c>
      <x:c r="B226" s="50" t="str">
        <x:v>SYN0108</x:v>
      </x:c>
      <x:c r="C226" s="50" t="str">
        <x:v>day60_activity_observed</x:v>
      </x:c>
      <x:c r="D226" s="51" t="n">
        <x:v>46269</x:v>
      </x:c>
    </x:row>
    <x:row r="227">
      <x:c r="A227" s="50" t="str">
        <x:v>EVT000224</x:v>
      </x:c>
      <x:c r="B227" s="50" t="str">
        <x:v>SYN0109</x:v>
      </x:c>
      <x:c r="C227" s="50" t="str">
        <x:v>coach_contact_completed</x:v>
      </x:c>
      <x:c r="D227" s="51" t="n">
        <x:v>46199</x:v>
      </x:c>
    </x:row>
    <x:row r="228">
      <x:c r="A228" s="50" t="str">
        <x:v>EVT000225</x:v>
      </x:c>
      <x:c r="B228" s="50" t="str">
        <x:v>SYN0109</x:v>
      </x:c>
      <x:c r="C228" s="50" t="str">
        <x:v>day30_checkin_completed</x:v>
      </x:c>
      <x:c r="D228" s="51" t="n">
        <x:v>46234</x:v>
      </x:c>
    </x:row>
    <x:row r="229">
      <x:c r="A229" s="50" t="str">
        <x:v>EVT000226</x:v>
      </x:c>
      <x:c r="B229" s="50" t="str">
        <x:v>SYN0109</x:v>
      </x:c>
      <x:c r="C229" s="50" t="str">
        <x:v>day60_activity_observed</x:v>
      </x:c>
      <x:c r="D229" s="51" t="n">
        <x:v>46268</x:v>
      </x:c>
    </x:row>
    <x:row r="230">
      <x:c r="A230" s="50" t="str">
        <x:v>EVT000227</x:v>
      </x:c>
      <x:c r="B230" s="50" t="str">
        <x:v>SYN0110</x:v>
      </x:c>
      <x:c r="C230" s="50" t="str">
        <x:v>coach_contact_completed</x:v>
      </x:c>
      <x:c r="D230" s="51" t="n">
        <x:v>46264</x:v>
      </x:c>
    </x:row>
    <x:row r="231">
      <x:c r="A231" s="50" t="str">
        <x:v>EVT000228</x:v>
      </x:c>
      <x:c r="B231" s="50" t="str">
        <x:v>SYN0111</x:v>
      </x:c>
      <x:c r="C231" s="50" t="str">
        <x:v>coach_contact_completed</x:v>
      </x:c>
      <x:c r="D231" s="51" t="n">
        <x:v>46211</x:v>
      </x:c>
    </x:row>
    <x:row r="232">
      <x:c r="A232" s="50" t="str">
        <x:v>EVT000229</x:v>
      </x:c>
      <x:c r="B232" s="50" t="str">
        <x:v>SYN0111</x:v>
      </x:c>
      <x:c r="C232" s="50" t="str">
        <x:v>day30_checkin_completed</x:v>
      </x:c>
      <x:c r="D232" s="51" t="n">
        <x:v>46237</x:v>
      </x:c>
    </x:row>
    <x:row r="233">
      <x:c r="A233" s="50" t="str">
        <x:v>EVT000230</x:v>
      </x:c>
      <x:c r="B233" s="50" t="str">
        <x:v>SYN0111</x:v>
      </x:c>
      <x:c r="C233" s="50" t="str">
        <x:v>day60_activity_observed</x:v>
      </x:c>
      <x:c r="D233" s="51" t="n">
        <x:v>46269</x:v>
      </x:c>
    </x:row>
    <x:row r="234">
      <x:c r="A234" s="50" t="str">
        <x:v>EVT000231</x:v>
      </x:c>
      <x:c r="B234" s="50" t="str">
        <x:v>SYN0112</x:v>
      </x:c>
      <x:c r="C234" s="50" t="str">
        <x:v>coach_contact_completed</x:v>
      </x:c>
      <x:c r="D234" s="51" t="n">
        <x:v>46052</x:v>
      </x:c>
    </x:row>
    <x:row r="235">
      <x:c r="A235" s="50" t="str">
        <x:v>EVT000232</x:v>
      </x:c>
      <x:c r="B235" s="50" t="str">
        <x:v>SYN0112</x:v>
      </x:c>
      <x:c r="C235" s="50" t="str">
        <x:v>day30_checkin_completed</x:v>
      </x:c>
      <x:c r="D235" s="51" t="n">
        <x:v>46081</x:v>
      </x:c>
    </x:row>
    <x:row r="236">
      <x:c r="A236" s="50" t="str">
        <x:v>EVT000233</x:v>
      </x:c>
      <x:c r="B236" s="50" t="str">
        <x:v>SYN0112</x:v>
      </x:c>
      <x:c r="C236" s="50" t="str">
        <x:v>day60_activity_observed</x:v>
      </x:c>
      <x:c r="D236" s="51" t="n">
        <x:v>46107</x:v>
      </x:c>
    </x:row>
    <x:row r="237">
      <x:c r="A237" s="50" t="str">
        <x:v>EVT000234</x:v>
      </x:c>
      <x:c r="B237" s="50" t="str">
        <x:v>SYN0113</x:v>
      </x:c>
      <x:c r="C237" s="50" t="str">
        <x:v>coach_contact_completed</x:v>
      </x:c>
      <x:c r="D237" s="51" t="n">
        <x:v>46173</x:v>
      </x:c>
    </x:row>
    <x:row r="238">
      <x:c r="A238" s="50" t="str">
        <x:v>EVT000235</x:v>
      </x:c>
      <x:c r="B238" s="50" t="str">
        <x:v>SYN0113</x:v>
      </x:c>
      <x:c r="C238" s="50" t="str">
        <x:v>day30_checkin_completed</x:v>
      </x:c>
      <x:c r="D238" s="51" t="n">
        <x:v>46207</x:v>
      </x:c>
    </x:row>
    <x:row r="239">
      <x:c r="A239" s="50" t="str">
        <x:v>EVT000236</x:v>
      </x:c>
      <x:c r="B239" s="50" t="str">
        <x:v>SYN0114</x:v>
      </x:c>
      <x:c r="C239" s="50" t="str">
        <x:v>coach_contact_completed</x:v>
      </x:c>
      <x:c r="D239" s="51" t="n">
        <x:v>46086</x:v>
      </x:c>
    </x:row>
    <x:row r="240">
      <x:c r="A240" s="50" t="str">
        <x:v>EVT000237</x:v>
      </x:c>
      <x:c r="B240" s="50" t="str">
        <x:v>SYN0114</x:v>
      </x:c>
      <x:c r="C240" s="50" t="str">
        <x:v>day30_checkin_completed</x:v>
      </x:c>
      <x:c r="D240" s="51" t="n">
        <x:v>46113</x:v>
      </x:c>
    </x:row>
    <x:row r="241">
      <x:c r="A241" s="50" t="str">
        <x:v>EVT000238</x:v>
      </x:c>
      <x:c r="B241" s="50" t="str">
        <x:v>SYN0115</x:v>
      </x:c>
      <x:c r="C241" s="50" t="str">
        <x:v>coach_contact_completed</x:v>
      </x:c>
      <x:c r="D241" s="51" t="n">
        <x:v>46134</x:v>
      </x:c>
    </x:row>
    <x:row r="242">
      <x:c r="A242" s="50" t="str">
        <x:v>EVT000239</x:v>
      </x:c>
      <x:c r="B242" s="50" t="str">
        <x:v>SYN0116</x:v>
      </x:c>
      <x:c r="C242" s="50" t="str">
        <x:v>coach_contact_completed</x:v>
      </x:c>
      <x:c r="D242" s="51" t="n">
        <x:v>46218</x:v>
      </x:c>
    </x:row>
    <x:row r="243">
      <x:c r="A243" s="50" t="str">
        <x:v>EVT000240</x:v>
      </x:c>
      <x:c r="B243" s="50" t="str">
        <x:v>SYN0116</x:v>
      </x:c>
      <x:c r="C243" s="50" t="str">
        <x:v>day60_activity_observed</x:v>
      </x:c>
      <x:c r="D243" s="51" t="n">
        <x:v>46289</x:v>
      </x:c>
    </x:row>
    <x:row r="244">
      <x:c r="A244" s="50" t="str">
        <x:v>EVT000241</x:v>
      </x:c>
      <x:c r="B244" s="50" t="str">
        <x:v>SYN0117</x:v>
      </x:c>
      <x:c r="C244" s="50" t="str">
        <x:v>coach_contact_completed</x:v>
      </x:c>
      <x:c r="D244" s="51" t="n">
        <x:v>46251</x:v>
      </x:c>
    </x:row>
    <x:row r="245">
      <x:c r="A245" s="50" t="str">
        <x:v>EVT000242</x:v>
      </x:c>
      <x:c r="B245" s="50" t="str">
        <x:v>SYN0117</x:v>
      </x:c>
      <x:c r="C245" s="50" t="str">
        <x:v>day30_checkin_completed</x:v>
      </x:c>
      <x:c r="D245" s="51" t="n">
        <x:v>46270</x:v>
      </x:c>
    </x:row>
    <x:row r="246">
      <x:c r="A246" s="50" t="str">
        <x:v>EVT000243</x:v>
      </x:c>
      <x:c r="B246" s="50" t="str">
        <x:v>SYN0118</x:v>
      </x:c>
      <x:c r="C246" s="50" t="str">
        <x:v>coach_contact_completed</x:v>
      </x:c>
      <x:c r="D246" s="51" t="n">
        <x:v>46088</x:v>
      </x:c>
    </x:row>
    <x:row r="247">
      <x:c r="A247" s="50" t="str">
        <x:v>EVT000244</x:v>
      </x:c>
      <x:c r="B247" s="50" t="str">
        <x:v>SYN0118</x:v>
      </x:c>
      <x:c r="C247" s="50" t="str">
        <x:v>day30_checkin_completed</x:v>
      </x:c>
      <x:c r="D247" s="51" t="n">
        <x:v>46118</x:v>
      </x:c>
    </x:row>
    <x:row r="248">
      <x:c r="A248" s="50" t="str">
        <x:v>EVT000245</x:v>
      </x:c>
      <x:c r="B248" s="50" t="str">
        <x:v>SYN0118</x:v>
      </x:c>
      <x:c r="C248" s="50" t="str">
        <x:v>day60_activity_observed</x:v>
      </x:c>
      <x:c r="D248" s="51" t="n">
        <x:v>46145</x:v>
      </x:c>
    </x:row>
    <x:row r="249">
      <x:c r="A249" s="50" t="str">
        <x:v>EVT000246</x:v>
      </x:c>
      <x:c r="B249" s="50" t="str">
        <x:v>SYN0119</x:v>
      </x:c>
      <x:c r="C249" s="50" t="str">
        <x:v>coach_contact_completed</x:v>
      </x:c>
      <x:c r="D249" s="51" t="n">
        <x:v>46087</x:v>
      </x:c>
    </x:row>
    <x:row r="250">
      <x:c r="A250" s="50" t="str">
        <x:v>EVT000247</x:v>
      </x:c>
      <x:c r="B250" s="50" t="str">
        <x:v>SYN0119</x:v>
      </x:c>
      <x:c r="C250" s="50" t="str">
        <x:v>day60_activity_observed</x:v>
      </x:c>
      <x:c r="D250" s="51" t="n">
        <x:v>46153</x:v>
      </x:c>
    </x:row>
    <x:row r="251">
      <x:c r="A251" s="50" t="str">
        <x:v>EVT000248</x:v>
      </x:c>
      <x:c r="B251" s="50" t="str">
        <x:v>SYN0120</x:v>
      </x:c>
      <x:c r="C251" s="50" t="str">
        <x:v>coach_contact_completed</x:v>
      </x:c>
      <x:c r="D251" s="51" t="n">
        <x:v>46116</x:v>
      </x:c>
    </x:row>
    <x:row r="252">
      <x:c r="A252" s="50" t="str">
        <x:v>EVT000249</x:v>
      </x:c>
      <x:c r="B252" s="50" t="str">
        <x:v>SYN0120</x:v>
      </x:c>
      <x:c r="C252" s="50" t="str">
        <x:v>day30_checkin_completed</x:v>
      </x:c>
      <x:c r="D252" s="51" t="n">
        <x:v>46144</x:v>
      </x:c>
    </x:row>
    <x:row r="253">
      <x:c r="A253" s="50" t="str">
        <x:v>EVT000250</x:v>
      </x:c>
      <x:c r="B253" s="50" t="str">
        <x:v>SYN0120</x:v>
      </x:c>
      <x:c r="C253" s="50" t="str">
        <x:v>day60_activity_observed</x:v>
      </x:c>
      <x:c r="D253" s="51" t="n">
        <x:v>46180</x:v>
      </x:c>
    </x:row>
    <x:row r="254">
      <x:c r="A254" s="50" t="str">
        <x:v>EVT000251</x:v>
      </x:c>
      <x:c r="B254" s="50" t="str">
        <x:v>SYN0121</x:v>
      </x:c>
      <x:c r="C254" s="50" t="str">
        <x:v>day30_checkin_completed</x:v>
      </x:c>
      <x:c r="D254" s="51" t="n">
        <x:v>46204</x:v>
      </x:c>
    </x:row>
    <x:row r="255">
      <x:c r="A255" s="50" t="str">
        <x:v>EVT000252</x:v>
      </x:c>
      <x:c r="B255" s="50" t="str">
        <x:v>SYN0121</x:v>
      </x:c>
      <x:c r="C255" s="50" t="str">
        <x:v>day60_activity_observed</x:v>
      </x:c>
      <x:c r="D255" s="51" t="n">
        <x:v>46245</x:v>
      </x:c>
    </x:row>
    <x:row r="256">
      <x:c r="A256" s="50" t="str">
        <x:v>EVT000253</x:v>
      </x:c>
      <x:c r="B256" s="50" t="str">
        <x:v>SYN0122</x:v>
      </x:c>
      <x:c r="C256" s="50" t="str">
        <x:v>coach_contact_completed</x:v>
      </x:c>
      <x:c r="D256" s="51" t="n">
        <x:v>46266</x:v>
      </x:c>
    </x:row>
    <x:row r="257">
      <x:c r="A257" s="50" t="str">
        <x:v>EVT000254</x:v>
      </x:c>
      <x:c r="B257" s="50" t="str">
        <x:v>SYN0122</x:v>
      </x:c>
      <x:c r="C257" s="50" t="str">
        <x:v>day30_checkin_completed</x:v>
      </x:c>
      <x:c r="D257" s="51" t="n">
        <x:v>46295</x:v>
      </x:c>
    </x:row>
    <x:row r="258">
      <x:c r="A258" s="50" t="str">
        <x:v>EVT000255</x:v>
      </x:c>
      <x:c r="B258" s="50" t="str">
        <x:v>SYN0123</x:v>
      </x:c>
      <x:c r="C258" s="50" t="str">
        <x:v>day30_checkin_completed</x:v>
      </x:c>
      <x:c r="D258" s="51" t="n">
        <x:v>46232</x:v>
      </x:c>
    </x:row>
    <x:row r="259">
      <x:c r="A259" s="50" t="str">
        <x:v>EVT000256</x:v>
      </x:c>
      <x:c r="B259" s="50" t="str">
        <x:v>SYN0124</x:v>
      </x:c>
      <x:c r="C259" s="50" t="str">
        <x:v>coach_contact_completed</x:v>
      </x:c>
      <x:c r="D259" s="51" t="n">
        <x:v>46248</x:v>
      </x:c>
    </x:row>
    <x:row r="260">
      <x:c r="A260" s="50" t="str">
        <x:v>EVT000257</x:v>
      </x:c>
      <x:c r="B260" s="50" t="str">
        <x:v>SYN0124</x:v>
      </x:c>
      <x:c r="C260" s="50" t="str">
        <x:v>day30_checkin_completed</x:v>
      </x:c>
      <x:c r="D260" s="51" t="n">
        <x:v>46281</x:v>
      </x:c>
    </x:row>
    <x:row r="261">
      <x:c r="A261" s="50" t="str">
        <x:v>EVT000258</x:v>
      </x:c>
      <x:c r="B261" s="50" t="str">
        <x:v>SYN0125</x:v>
      </x:c>
      <x:c r="C261" s="50" t="str">
        <x:v>coach_contact_completed</x:v>
      </x:c>
      <x:c r="D261" s="51" t="n">
        <x:v>46184</x:v>
      </x:c>
    </x:row>
    <x:row r="262">
      <x:c r="A262" s="50" t="str">
        <x:v>EVT000259</x:v>
      </x:c>
      <x:c r="B262" s="50" t="str">
        <x:v>SYN0125</x:v>
      </x:c>
      <x:c r="C262" s="50" t="str">
        <x:v>day30_checkin_completed</x:v>
      </x:c>
      <x:c r="D262" s="51" t="n">
        <x:v>46215</x:v>
      </x:c>
    </x:row>
    <x:row r="263">
      <x:c r="A263" s="50" t="str">
        <x:v>EVT000260</x:v>
      </x:c>
      <x:c r="B263" s="50" t="str">
        <x:v>SYN0126</x:v>
      </x:c>
      <x:c r="C263" s="50" t="str">
        <x:v>coach_contact_completed</x:v>
      </x:c>
      <x:c r="D263" s="51" t="n">
        <x:v>46252</x:v>
      </x:c>
    </x:row>
    <x:row r="264">
      <x:c r="A264" s="50" t="str">
        <x:v>EVT000261</x:v>
      </x:c>
      <x:c r="B264" s="50" t="str">
        <x:v>SYN0127</x:v>
      </x:c>
      <x:c r="C264" s="50" t="str">
        <x:v>coach_contact_completed</x:v>
      </x:c>
      <x:c r="D264" s="51" t="n">
        <x:v>46240</x:v>
      </x:c>
    </x:row>
    <x:row r="265">
      <x:c r="A265" s="50" t="str">
        <x:v>EVT000262</x:v>
      </x:c>
      <x:c r="B265" s="50" t="str">
        <x:v>SYN0127</x:v>
      </x:c>
      <x:c r="C265" s="50" t="str">
        <x:v>day30_checkin_completed</x:v>
      </x:c>
      <x:c r="D265" s="51" t="n">
        <x:v>46259</x:v>
      </x:c>
    </x:row>
    <x:row r="266">
      <x:c r="A266" s="50" t="str">
        <x:v>EVT000263</x:v>
      </x:c>
      <x:c r="B266" s="50" t="str">
        <x:v>SYN0128</x:v>
      </x:c>
      <x:c r="C266" s="50" t="str">
        <x:v>day30_checkin_completed</x:v>
      </x:c>
      <x:c r="D266" s="51" t="n">
        <x:v>46145</x:v>
      </x:c>
    </x:row>
    <x:row r="267">
      <x:c r="A267" s="50" t="str">
        <x:v>EVT000264</x:v>
      </x:c>
      <x:c r="B267" s="50" t="str">
        <x:v>SYN0128</x:v>
      </x:c>
      <x:c r="C267" s="50" t="str">
        <x:v>day60_activity_observed</x:v>
      </x:c>
      <x:c r="D267" s="51" t="n">
        <x:v>46182</x:v>
      </x:c>
    </x:row>
    <x:row r="268">
      <x:c r="A268" s="50" t="str">
        <x:v>EVT000265</x:v>
      </x:c>
      <x:c r="B268" s="50" t="str">
        <x:v>SYN0129</x:v>
      </x:c>
      <x:c r="C268" s="50" t="str">
        <x:v>coach_contact_completed</x:v>
      </x:c>
      <x:c r="D268" s="51" t="n">
        <x:v>46086</x:v>
      </x:c>
    </x:row>
    <x:row r="269">
      <x:c r="A269" s="50" t="str">
        <x:v>EVT000266</x:v>
      </x:c>
      <x:c r="B269" s="50" t="str">
        <x:v>SYN0129</x:v>
      </x:c>
      <x:c r="C269" s="50" t="str">
        <x:v>day30_checkin_completed</x:v>
      </x:c>
      <x:c r="D269" s="51" t="n">
        <x:v>46118</x:v>
      </x:c>
    </x:row>
    <x:row r="270">
      <x:c r="A270" s="50" t="str">
        <x:v>EVT000267</x:v>
      </x:c>
      <x:c r="B270" s="50" t="str">
        <x:v>SYN0129</x:v>
      </x:c>
      <x:c r="C270" s="50" t="str">
        <x:v>day60_activity_observed</x:v>
      </x:c>
      <x:c r="D270" s="51" t="n">
        <x:v>46149</x:v>
      </x:c>
    </x:row>
    <x:row r="271">
      <x:c r="A271" s="50" t="str">
        <x:v>EVT000268</x:v>
      </x:c>
      <x:c r="B271" s="50" t="str">
        <x:v>SYN0130</x:v>
      </x:c>
      <x:c r="C271" s="50" t="str">
        <x:v>coach_contact_completed</x:v>
      </x:c>
      <x:c r="D271" s="51" t="n">
        <x:v>46027</x:v>
      </x:c>
    </x:row>
    <x:row r="272">
      <x:c r="A272" s="50" t="str">
        <x:v>EVT000269</x:v>
      </x:c>
      <x:c r="B272" s="50" t="str">
        <x:v>SYN0130</x:v>
      </x:c>
      <x:c r="C272" s="50" t="str">
        <x:v>day60_activity_observed</x:v>
      </x:c>
      <x:c r="D272" s="51" t="n">
        <x:v>46095</x:v>
      </x:c>
    </x:row>
    <x:row r="273">
      <x:c r="A273" s="50" t="str">
        <x:v>EVT000270</x:v>
      </x:c>
      <x:c r="B273" s="50" t="str">
        <x:v>SYN0131</x:v>
      </x:c>
      <x:c r="C273" s="50" t="str">
        <x:v>coach_contact_completed</x:v>
      </x:c>
      <x:c r="D273" s="51" t="n">
        <x:v>46092</x:v>
      </x:c>
    </x:row>
    <x:row r="274">
      <x:c r="A274" s="50" t="str">
        <x:v>EVT000271</x:v>
      </x:c>
      <x:c r="B274" s="50" t="str">
        <x:v>SYN0131</x:v>
      </x:c>
      <x:c r="C274" s="50" t="str">
        <x:v>day60_activity_observed</x:v>
      </x:c>
      <x:c r="D274" s="51" t="n">
        <x:v>46144</x:v>
      </x:c>
    </x:row>
    <x:row r="275">
      <x:c r="A275" s="50" t="str">
        <x:v>EVT000272</x:v>
      </x:c>
      <x:c r="B275" s="50" t="str">
        <x:v>SYN0132</x:v>
      </x:c>
      <x:c r="C275" s="50" t="str">
        <x:v>coach_contact_completed</x:v>
      </x:c>
      <x:c r="D275" s="51" t="n">
        <x:v>46112</x:v>
      </x:c>
    </x:row>
    <x:row r="276">
      <x:c r="A276" s="50" t="str">
        <x:v>EVT000273</x:v>
      </x:c>
      <x:c r="B276" s="50" t="str">
        <x:v>SYN0132</x:v>
      </x:c>
      <x:c r="C276" s="50" t="str">
        <x:v>day30_checkin_completed</x:v>
      </x:c>
      <x:c r="D276" s="51" t="n">
        <x:v>46148</x:v>
      </x:c>
    </x:row>
    <x:row r="277">
      <x:c r="A277" s="50" t="str">
        <x:v>EVT000274</x:v>
      </x:c>
      <x:c r="B277" s="50" t="str">
        <x:v>SYN0133</x:v>
      </x:c>
      <x:c r="C277" s="50" t="str">
        <x:v>day30_checkin_completed</x:v>
      </x:c>
      <x:c r="D277" s="51" t="n">
        <x:v>46084</x:v>
      </x:c>
    </x:row>
    <x:row r="278">
      <x:c r="A278" s="50" t="str">
        <x:v>EVT000275</x:v>
      </x:c>
      <x:c r="B278" s="50" t="str">
        <x:v>SYN0133</x:v>
      </x:c>
      <x:c r="C278" s="50" t="str">
        <x:v>day60_activity_observed</x:v>
      </x:c>
      <x:c r="D278" s="51" t="n">
        <x:v>46116</x:v>
      </x:c>
    </x:row>
    <x:row r="279">
      <x:c r="A279" s="50" t="str">
        <x:v>EVT000276</x:v>
      </x:c>
      <x:c r="B279" s="50" t="str">
        <x:v>SYN0134</x:v>
      </x:c>
      <x:c r="C279" s="50" t="str">
        <x:v>coach_contact_completed</x:v>
      </x:c>
      <x:c r="D279" s="51" t="n">
        <x:v>46175</x:v>
      </x:c>
    </x:row>
    <x:row r="280">
      <x:c r="A280" s="50" t="str">
        <x:v>EVT000277</x:v>
      </x:c>
      <x:c r="B280" s="50" t="str">
        <x:v>SYN0134</x:v>
      </x:c>
      <x:c r="C280" s="50" t="str">
        <x:v>day30_checkin_completed</x:v>
      </x:c>
      <x:c r="D280" s="51" t="n">
        <x:v>46197</x:v>
      </x:c>
    </x:row>
    <x:row r="281">
      <x:c r="A281" s="50" t="str">
        <x:v>EVT000278</x:v>
      </x:c>
      <x:c r="B281" s="50" t="str">
        <x:v>SYN0135</x:v>
      </x:c>
      <x:c r="C281" s="50" t="str">
        <x:v>coach_contact_completed</x:v>
      </x:c>
      <x:c r="D281" s="51" t="n">
        <x:v>46138</x:v>
      </x:c>
    </x:row>
    <x:row r="282">
      <x:c r="A282" s="50" t="str">
        <x:v>EVT000279</x:v>
      </x:c>
      <x:c r="B282" s="50" t="str">
        <x:v>SYN0135</x:v>
      </x:c>
      <x:c r="C282" s="50" t="str">
        <x:v>day30_checkin_completed</x:v>
      </x:c>
      <x:c r="D282" s="51" t="n">
        <x:v>46163</x:v>
      </x:c>
    </x:row>
    <x:row r="283">
      <x:c r="A283" s="50" t="str">
        <x:v>EVT000280</x:v>
      </x:c>
      <x:c r="B283" s="50" t="str">
        <x:v>SYN0136</x:v>
      </x:c>
      <x:c r="C283" s="50" t="str">
        <x:v>day30_checkin_completed</x:v>
      </x:c>
      <x:c r="D283" s="51" t="n">
        <x:v>46213</x:v>
      </x:c>
    </x:row>
    <x:row r="284">
      <x:c r="A284" s="50" t="str">
        <x:v>EVT000281</x:v>
      </x:c>
      <x:c r="B284" s="50" t="str">
        <x:v>SYN0136</x:v>
      </x:c>
      <x:c r="C284" s="50" t="str">
        <x:v>day60_activity_observed</x:v>
      </x:c>
      <x:c r="D284" s="51" t="n">
        <x:v>46247</x:v>
      </x:c>
    </x:row>
    <x:row r="285">
      <x:c r="A285" s="50" t="str">
        <x:v>EVT000282</x:v>
      </x:c>
      <x:c r="B285" s="50" t="str">
        <x:v>SYN0137</x:v>
      </x:c>
      <x:c r="C285" s="50" t="str">
        <x:v>coach_contact_completed</x:v>
      </x:c>
      <x:c r="D285" s="51" t="n">
        <x:v>46117</x:v>
      </x:c>
    </x:row>
    <x:row r="286">
      <x:c r="A286" s="50" t="str">
        <x:v>EVT000283</x:v>
      </x:c>
      <x:c r="B286" s="50" t="str">
        <x:v>SYN0138</x:v>
      </x:c>
      <x:c r="C286" s="50" t="str">
        <x:v>coach_contact_completed</x:v>
      </x:c>
      <x:c r="D286" s="51" t="n">
        <x:v>46033</x:v>
      </x:c>
    </x:row>
    <x:row r="287">
      <x:c r="A287" s="50" t="str">
        <x:v>EVT000284</x:v>
      </x:c>
      <x:c r="B287" s="50" t="str">
        <x:v>SYN0138</x:v>
      </x:c>
      <x:c r="C287" s="50" t="str">
        <x:v>day30_checkin_completed</x:v>
      </x:c>
      <x:c r="D287" s="51" t="n">
        <x:v>46061</x:v>
      </x:c>
    </x:row>
    <x:row r="288">
      <x:c r="A288" s="50" t="str">
        <x:v>EVT000285</x:v>
      </x:c>
      <x:c r="B288" s="50" t="str">
        <x:v>SYN0139</x:v>
      </x:c>
      <x:c r="C288" s="50" t="str">
        <x:v>coach_contact_completed</x:v>
      </x:c>
      <x:c r="D288" s="51" t="n">
        <x:v>46147</x:v>
      </x:c>
    </x:row>
    <x:row r="289">
      <x:c r="A289" s="50" t="str">
        <x:v>EVT000286</x:v>
      </x:c>
      <x:c r="B289" s="50" t="str">
        <x:v>SYN0139</x:v>
      </x:c>
      <x:c r="C289" s="50" t="str">
        <x:v>day30_checkin_completed</x:v>
      </x:c>
      <x:c r="D289" s="51" t="n">
        <x:v>46176</x:v>
      </x:c>
    </x:row>
    <x:row r="290">
      <x:c r="A290" s="50" t="str">
        <x:v>EVT000287</x:v>
      </x:c>
      <x:c r="B290" s="50" t="str">
        <x:v>SYN0139</x:v>
      </x:c>
      <x:c r="C290" s="50" t="str">
        <x:v>day60_activity_observed</x:v>
      </x:c>
      <x:c r="D290" s="51" t="n">
        <x:v>46211</x:v>
      </x:c>
    </x:row>
    <x:row r="291">
      <x:c r="A291" s="50" t="str">
        <x:v>EVT000288</x:v>
      </x:c>
      <x:c r="B291" s="50" t="str">
        <x:v>SYN0140</x:v>
      </x:c>
      <x:c r="C291" s="50" t="str">
        <x:v>coach_contact_completed</x:v>
      </x:c>
      <x:c r="D291" s="51" t="n">
        <x:v>46129</x:v>
      </x:c>
    </x:row>
    <x:row r="292">
      <x:c r="A292" s="50" t="str">
        <x:v>EVT000289</x:v>
      </x:c>
      <x:c r="B292" s="50" t="str">
        <x:v>SYN0140</x:v>
      </x:c>
      <x:c r="C292" s="50" t="str">
        <x:v>day30_checkin_completed</x:v>
      </x:c>
      <x:c r="D292" s="51" t="n">
        <x:v>46156</x:v>
      </x:c>
    </x:row>
    <x:row r="293">
      <x:c r="A293" s="50" t="str">
        <x:v>EVT000290</x:v>
      </x:c>
      <x:c r="B293" s="50" t="str">
        <x:v>SYN0140</x:v>
      </x:c>
      <x:c r="C293" s="50" t="str">
        <x:v>day60_activity_observed</x:v>
      </x:c>
      <x:c r="D293" s="51" t="n">
        <x:v>46183</x:v>
      </x:c>
    </x:row>
    <x:row r="294">
      <x:c r="A294" s="50" t="str">
        <x:v>EVT000291</x:v>
      </x:c>
      <x:c r="B294" s="50" t="str">
        <x:v>SYN0141</x:v>
      </x:c>
      <x:c r="C294" s="50" t="str">
        <x:v>coach_contact_completed</x:v>
      </x:c>
      <x:c r="D294" s="51" t="n">
        <x:v>46197</x:v>
      </x:c>
    </x:row>
    <x:row r="295">
      <x:c r="A295" s="50" t="str">
        <x:v>EVT000292</x:v>
      </x:c>
      <x:c r="B295" s="50" t="str">
        <x:v>SYN0142</x:v>
      </x:c>
      <x:c r="C295" s="50" t="str">
        <x:v>coach_contact_completed</x:v>
      </x:c>
      <x:c r="D295" s="51" t="n">
        <x:v>46118</x:v>
      </x:c>
    </x:row>
    <x:row r="296">
      <x:c r="A296" s="50" t="str">
        <x:v>EVT000293</x:v>
      </x:c>
      <x:c r="B296" s="50" t="str">
        <x:v>SYN0142</x:v>
      </x:c>
      <x:c r="C296" s="50" t="str">
        <x:v>day30_checkin_completed</x:v>
      </x:c>
      <x:c r="D296" s="51" t="n">
        <x:v>46141</x:v>
      </x:c>
    </x:row>
    <x:row r="297">
      <x:c r="A297" s="50" t="str">
        <x:v>EVT000294</x:v>
      </x:c>
      <x:c r="B297" s="50" t="str">
        <x:v>SYN0142</x:v>
      </x:c>
      <x:c r="C297" s="50" t="str">
        <x:v>day60_activity_observed</x:v>
      </x:c>
      <x:c r="D297" s="51" t="n">
        <x:v>46176</x:v>
      </x:c>
    </x:row>
    <x:row r="298">
      <x:c r="A298" s="50" t="str">
        <x:v>EVT000295</x:v>
      </x:c>
      <x:c r="B298" s="50" t="str">
        <x:v>SYN0143</x:v>
      </x:c>
      <x:c r="C298" s="50" t="str">
        <x:v>coach_contact_completed</x:v>
      </x:c>
      <x:c r="D298" s="51" t="n">
        <x:v>46257</x:v>
      </x:c>
    </x:row>
    <x:row r="299">
      <x:c r="A299" s="50" t="str">
        <x:v>EVT000296</x:v>
      </x:c>
      <x:c r="B299" s="50" t="str">
        <x:v>SYN0143</x:v>
      </x:c>
      <x:c r="C299" s="50" t="str">
        <x:v>day30_checkin_completed</x:v>
      </x:c>
      <x:c r="D299" s="51" t="n">
        <x:v>46285</x:v>
      </x:c>
    </x:row>
    <x:row r="300">
      <x:c r="A300" s="50" t="str">
        <x:v>EVT000297</x:v>
      </x:c>
      <x:c r="B300" s="50" t="str">
        <x:v>SYN0144</x:v>
      </x:c>
      <x:c r="C300" s="50" t="str">
        <x:v>coach_contact_completed</x:v>
      </x:c>
      <x:c r="D300" s="51" t="n">
        <x:v>46108</x:v>
      </x:c>
    </x:row>
    <x:row r="301">
      <x:c r="A301" s="50" t="str">
        <x:v>EVT000298</x:v>
      </x:c>
      <x:c r="B301" s="50" t="str">
        <x:v>SYN0144</x:v>
      </x:c>
      <x:c r="C301" s="50" t="str">
        <x:v>day30_checkin_completed</x:v>
      </x:c>
      <x:c r="D301" s="51" t="n">
        <x:v>46136</x:v>
      </x:c>
    </x:row>
    <x:row r="302">
      <x:c r="A302" s="50" t="str">
        <x:v>EVT000299</x:v>
      </x:c>
      <x:c r="B302" s="50" t="str">
        <x:v>SYN0144</x:v>
      </x:c>
      <x:c r="C302" s="50" t="str">
        <x:v>day60_activity_observed</x:v>
      </x:c>
      <x:c r="D302" s="51" t="n">
        <x:v>46173</x:v>
      </x:c>
    </x:row>
    <x:row r="303">
      <x:c r="A303" s="50" t="str">
        <x:v>EVT000300</x:v>
      </x:c>
      <x:c r="B303" s="50" t="str">
        <x:v>SYN0146</x:v>
      </x:c>
      <x:c r="C303" s="50" t="str">
        <x:v>coach_contact_completed</x:v>
      </x:c>
      <x:c r="D303" s="51" t="n">
        <x:v>46168</x:v>
      </x:c>
    </x:row>
    <x:row r="304">
      <x:c r="A304" s="50" t="str">
        <x:v>EVT000301</x:v>
      </x:c>
      <x:c r="B304" s="50" t="str">
        <x:v>SYN0146</x:v>
      </x:c>
      <x:c r="C304" s="50" t="str">
        <x:v>day30_checkin_completed</x:v>
      </x:c>
      <x:c r="D304" s="51" t="n">
        <x:v>46195</x:v>
      </x:c>
    </x:row>
    <x:row r="305">
      <x:c r="A305" s="50" t="str">
        <x:v>EVT000302</x:v>
      </x:c>
      <x:c r="B305" s="50" t="str">
        <x:v>SYN0146</x:v>
      </x:c>
      <x:c r="C305" s="50" t="str">
        <x:v>day60_activity_observed</x:v>
      </x:c>
      <x:c r="D305" s="51" t="n">
        <x:v>46239</x:v>
      </x:c>
    </x:row>
    <x:row r="306">
      <x:c r="A306" s="50" t="str">
        <x:v>EVT000303</x:v>
      </x:c>
      <x:c r="B306" s="50" t="str">
        <x:v>SYN0147</x:v>
      </x:c>
      <x:c r="C306" s="50" t="str">
        <x:v>day30_checkin_completed</x:v>
      </x:c>
      <x:c r="D306" s="51" t="n">
        <x:v>46085</x:v>
      </x:c>
    </x:row>
    <x:row r="307">
      <x:c r="A307" s="50" t="str">
        <x:v>EVT000304</x:v>
      </x:c>
      <x:c r="B307" s="50" t="str">
        <x:v>SYN0147</x:v>
      </x:c>
      <x:c r="C307" s="50" t="str">
        <x:v>day60_activity_observed</x:v>
      </x:c>
      <x:c r="D307" s="51" t="n">
        <x:v>46117</x:v>
      </x:c>
    </x:row>
    <x:row r="308">
      <x:c r="A308" s="50" t="str">
        <x:v>EVT000305</x:v>
      </x:c>
      <x:c r="B308" s="50" t="str">
        <x:v>SYN0148</x:v>
      </x:c>
      <x:c r="C308" s="50" t="str">
        <x:v>coach_contact_completed</x:v>
      </x:c>
      <x:c r="D308" s="51" t="n">
        <x:v>46208</x:v>
      </x:c>
    </x:row>
    <x:row r="309">
      <x:c r="A309" s="50" t="str">
        <x:v>EVT000306</x:v>
      </x:c>
      <x:c r="B309" s="50" t="str">
        <x:v>SYN0148</x:v>
      </x:c>
      <x:c r="C309" s="50" t="str">
        <x:v>day30_checkin_completed</x:v>
      </x:c>
      <x:c r="D309" s="51" t="n">
        <x:v>46232</x:v>
      </x:c>
    </x:row>
    <x:row r="310">
      <x:c r="A310" s="50" t="str">
        <x:v>EVT000307</x:v>
      </x:c>
      <x:c r="B310" s="50" t="str">
        <x:v>SYN0148</x:v>
      </x:c>
      <x:c r="C310" s="50" t="str">
        <x:v>day60_activity_observed</x:v>
      </x:c>
      <x:c r="D310" s="51" t="n">
        <x:v>46265</x:v>
      </x:c>
    </x:row>
    <x:row r="311">
      <x:c r="A311" s="50" t="str">
        <x:v>EVT000308</x:v>
      </x:c>
      <x:c r="B311" s="50" t="str">
        <x:v>SYN0149</x:v>
      </x:c>
      <x:c r="C311" s="50" t="str">
        <x:v>coach_contact_completed</x:v>
      </x:c>
      <x:c r="D311" s="51" t="n">
        <x:v>46072</x:v>
      </x:c>
    </x:row>
    <x:row r="312">
      <x:c r="A312" s="50" t="str">
        <x:v>EVT000309</x:v>
      </x:c>
      <x:c r="B312" s="50" t="str">
        <x:v>SYN0149</x:v>
      </x:c>
      <x:c r="C312" s="50" t="str">
        <x:v>day30_checkin_completed</x:v>
      </x:c>
      <x:c r="D312" s="51" t="n">
        <x:v>46097</x:v>
      </x:c>
    </x:row>
    <x:row r="313">
      <x:c r="A313" s="50" t="str">
        <x:v>EVT000310</x:v>
      </x:c>
      <x:c r="B313" s="50" t="str">
        <x:v>SYN0150</x:v>
      </x:c>
      <x:c r="C313" s="50" t="str">
        <x:v>coach_contact_completed</x:v>
      </x:c>
      <x:c r="D313" s="51" t="n">
        <x:v>46078</x:v>
      </x:c>
    </x:row>
    <x:row r="314">
      <x:c r="A314" s="50" t="str">
        <x:v>EVT000311</x:v>
      </x:c>
      <x:c r="B314" s="50" t="str">
        <x:v>SYN0150</x:v>
      </x:c>
      <x:c r="C314" s="50" t="str">
        <x:v>day30_checkin_completed</x:v>
      </x:c>
      <x:c r="D314" s="51" t="n">
        <x:v>46109</x:v>
      </x:c>
    </x:row>
    <x:row r="315">
      <x:c r="A315" s="50" t="str">
        <x:v>EVT000312</x:v>
      </x:c>
      <x:c r="B315" s="50" t="str">
        <x:v>SYN0150</x:v>
      </x:c>
      <x:c r="C315" s="50" t="str">
        <x:v>day60_activity_observed</x:v>
      </x:c>
      <x:c r="D315" s="51" t="n">
        <x:v>46141</x:v>
      </x:c>
    </x:row>
    <x:row r="316">
      <x:c r="A316" s="50" t="str">
        <x:v>EVT000313</x:v>
      </x:c>
      <x:c r="B316" s="50" t="str">
        <x:v>SYN0151</x:v>
      </x:c>
      <x:c r="C316" s="50" t="str">
        <x:v>coach_contact_completed</x:v>
      </x:c>
      <x:c r="D316" s="51" t="n">
        <x:v>46150</x:v>
      </x:c>
    </x:row>
    <x:row r="317">
      <x:c r="A317" s="50" t="str">
        <x:v>EVT000314</x:v>
      </x:c>
      <x:c r="B317" s="50" t="str">
        <x:v>SYN0151</x:v>
      </x:c>
      <x:c r="C317" s="50" t="str">
        <x:v>day60_activity_observed</x:v>
      </x:c>
      <x:c r="D317" s="51" t="n">
        <x:v>46210</x:v>
      </x:c>
    </x:row>
    <x:row r="318">
      <x:c r="A318" s="50" t="str">
        <x:v>EVT000315</x:v>
      </x:c>
      <x:c r="B318" s="50" t="str">
        <x:v>SYN0152</x:v>
      </x:c>
      <x:c r="C318" s="50" t="str">
        <x:v>coach_contact_completed</x:v>
      </x:c>
      <x:c r="D318" s="51" t="n">
        <x:v>46138</x:v>
      </x:c>
    </x:row>
    <x:row r="319">
      <x:c r="A319" s="50" t="str">
        <x:v>EVT000316</x:v>
      </x:c>
      <x:c r="B319" s="50" t="str">
        <x:v>SYN0152</x:v>
      </x:c>
      <x:c r="C319" s="50" t="str">
        <x:v>day30_checkin_completed</x:v>
      </x:c>
      <x:c r="D319" s="51" t="n">
        <x:v>46169</x:v>
      </x:c>
    </x:row>
    <x:row r="320">
      <x:c r="A320" s="50" t="str">
        <x:v>EVT000317</x:v>
      </x:c>
      <x:c r="B320" s="50" t="str">
        <x:v>SYN0153</x:v>
      </x:c>
      <x:c r="C320" s="50" t="str">
        <x:v>coach_contact_completed</x:v>
      </x:c>
      <x:c r="D320" s="51" t="n">
        <x:v>46226</x:v>
      </x:c>
    </x:row>
    <x:row r="321">
      <x:c r="A321" s="50" t="str">
        <x:v>EVT000318</x:v>
      </x:c>
      <x:c r="B321" s="50" t="str">
        <x:v>SYN0153</x:v>
      </x:c>
      <x:c r="C321" s="50" t="str">
        <x:v>day30_checkin_completed</x:v>
      </x:c>
      <x:c r="D321" s="51" t="n">
        <x:v>46255</x:v>
      </x:c>
    </x:row>
    <x:row r="322">
      <x:c r="A322" s="50" t="str">
        <x:v>EVT000319</x:v>
      </x:c>
      <x:c r="B322" s="50" t="str">
        <x:v>SYN0153</x:v>
      </x:c>
      <x:c r="C322" s="50" t="str">
        <x:v>day60_activity_observed</x:v>
      </x:c>
      <x:c r="D322" s="51" t="n">
        <x:v>46287</x:v>
      </x:c>
    </x:row>
    <x:row r="323">
      <x:c r="A323" s="50" t="str">
        <x:v>EVT000320</x:v>
      </x:c>
      <x:c r="B323" s="50" t="str">
        <x:v>SYN0154</x:v>
      </x:c>
      <x:c r="C323" s="50" t="str">
        <x:v>coach_contact_completed</x:v>
      </x:c>
      <x:c r="D323" s="51" t="n">
        <x:v>46197</x:v>
      </x:c>
    </x:row>
    <x:row r="324">
      <x:c r="A324" s="50" t="str">
        <x:v>EVT000321</x:v>
      </x:c>
      <x:c r="B324" s="50" t="str">
        <x:v>SYN0154</x:v>
      </x:c>
      <x:c r="C324" s="50" t="str">
        <x:v>day30_checkin_completed</x:v>
      </x:c>
      <x:c r="D324" s="51" t="n">
        <x:v>46218</x:v>
      </x:c>
    </x:row>
    <x:row r="325">
      <x:c r="A325" s="50" t="str">
        <x:v>EVT000322</x:v>
      </x:c>
      <x:c r="B325" s="50" t="str">
        <x:v>SYN0155</x:v>
      </x:c>
      <x:c r="C325" s="50" t="str">
        <x:v>day30_checkin_completed</x:v>
      </x:c>
      <x:c r="D325" s="51" t="n">
        <x:v>46273</x:v>
      </x:c>
    </x:row>
    <x:row r="326">
      <x:c r="A326" s="50" t="str">
        <x:v>EVT000323</x:v>
      </x:c>
      <x:c r="B326" s="50" t="str">
        <x:v>SYN0156</x:v>
      </x:c>
      <x:c r="C326" s="50" t="str">
        <x:v>coach_contact_completed</x:v>
      </x:c>
      <x:c r="D326" s="51" t="n">
        <x:v>46153</x:v>
      </x:c>
    </x:row>
    <x:row r="327">
      <x:c r="A327" s="50" t="str">
        <x:v>EVT000324</x:v>
      </x:c>
      <x:c r="B327" s="50" t="str">
        <x:v>SYN0156</x:v>
      </x:c>
      <x:c r="C327" s="50" t="str">
        <x:v>day60_activity_observed</x:v>
      </x:c>
      <x:c r="D327" s="51" t="n">
        <x:v>46224</x:v>
      </x:c>
    </x:row>
    <x:row r="328">
      <x:c r="A328" s="50" t="str">
        <x:v>EVT000325</x:v>
      </x:c>
      <x:c r="B328" s="50" t="str">
        <x:v>SYN0157</x:v>
      </x:c>
      <x:c r="C328" s="50" t="str">
        <x:v>day60_activity_observed</x:v>
      </x:c>
      <x:c r="D328" s="51" t="n">
        <x:v>46244</x:v>
      </x:c>
    </x:row>
    <x:row r="329">
      <x:c r="A329" s="50" t="str">
        <x:v>EVT000326</x:v>
      </x:c>
      <x:c r="B329" s="50" t="str">
        <x:v>SYN0158</x:v>
      </x:c>
      <x:c r="C329" s="50" t="str">
        <x:v>coach_contact_completed</x:v>
      </x:c>
      <x:c r="D329" s="51" t="n">
        <x:v>46197</x:v>
      </x:c>
    </x:row>
    <x:row r="330">
      <x:c r="A330" s="50" t="str">
        <x:v>EVT000327</x:v>
      </x:c>
      <x:c r="B330" s="50" t="str">
        <x:v>SYN0158</x:v>
      </x:c>
      <x:c r="C330" s="50" t="str">
        <x:v>day60_activity_observed</x:v>
      </x:c>
      <x:c r="D330" s="51" t="n">
        <x:v>46263</x:v>
      </x:c>
    </x:row>
    <x:row r="331">
      <x:c r="A331" s="50" t="str">
        <x:v>EVT000328</x:v>
      </x:c>
      <x:c r="B331" s="50" t="str">
        <x:v>SYN0159</x:v>
      </x:c>
      <x:c r="C331" s="50" t="str">
        <x:v>coach_contact_completed</x:v>
      </x:c>
      <x:c r="D331" s="51" t="n">
        <x:v>46104</x:v>
      </x:c>
    </x:row>
    <x:row r="332">
      <x:c r="A332" s="50" t="str">
        <x:v>EVT000329</x:v>
      </x:c>
      <x:c r="B332" s="50" t="str">
        <x:v>SYN0159</x:v>
      </x:c>
      <x:c r="C332" s="50" t="str">
        <x:v>day30_checkin_completed</x:v>
      </x:c>
      <x:c r="D332" s="51" t="n">
        <x:v>46123</x:v>
      </x:c>
    </x:row>
    <x:row r="333">
      <x:c r="A333" s="50" t="str">
        <x:v>EVT000330</x:v>
      </x:c>
      <x:c r="B333" s="50" t="str">
        <x:v>SYN0159</x:v>
      </x:c>
      <x:c r="C333" s="50" t="str">
        <x:v>day60_activity_observed</x:v>
      </x:c>
      <x:c r="D333" s="51" t="n">
        <x:v>46157</x:v>
      </x:c>
    </x:row>
    <x:row r="334">
      <x:c r="A334" s="50" t="str">
        <x:v>EVT000331</x:v>
      </x:c>
      <x:c r="B334" s="50" t="str">
        <x:v>SYN0160</x:v>
      </x:c>
      <x:c r="C334" s="50" t="str">
        <x:v>coach_contact_completed</x:v>
      </x:c>
      <x:c r="D334" s="51" t="n">
        <x:v>46184</x:v>
      </x:c>
    </x:row>
    <x:row r="335">
      <x:c r="A335" s="50" t="str">
        <x:v>EVT000332</x:v>
      </x:c>
      <x:c r="B335" s="50" t="str">
        <x:v>SYN0160</x:v>
      </x:c>
      <x:c r="C335" s="50" t="str">
        <x:v>day60_activity_observed</x:v>
      </x:c>
      <x:c r="D335" s="51" t="n">
        <x:v>46243</x:v>
      </x:c>
    </x:row>
    <x:row r="336">
      <x:c r="A336" s="50" t="str">
        <x:v>EVT000333</x:v>
      </x:c>
      <x:c r="B336" s="50" t="str">
        <x:v>SYN0161</x:v>
      </x:c>
      <x:c r="C336" s="50" t="str">
        <x:v>coach_contact_completed</x:v>
      </x:c>
      <x:c r="D336" s="51" t="n">
        <x:v>46230</x:v>
      </x:c>
    </x:row>
    <x:row r="337">
      <x:c r="A337" s="50" t="str">
        <x:v>EVT000334</x:v>
      </x:c>
      <x:c r="B337" s="50" t="str">
        <x:v>SYN0161</x:v>
      </x:c>
      <x:c r="C337" s="50" t="str">
        <x:v>day30_checkin_completed</x:v>
      </x:c>
      <x:c r="D337" s="51" t="n">
        <x:v>46255</x:v>
      </x:c>
    </x:row>
    <x:row r="338">
      <x:c r="A338" s="50" t="str">
        <x:v>EVT000335</x:v>
      </x:c>
      <x:c r="B338" s="50" t="str">
        <x:v>SYN0161</x:v>
      </x:c>
      <x:c r="C338" s="50" t="str">
        <x:v>day60_activity_observed</x:v>
      </x:c>
      <x:c r="D338" s="51" t="n">
        <x:v>46287</x:v>
      </x:c>
    </x:row>
    <x:row r="339">
      <x:c r="A339" s="50" t="str">
        <x:v>EVT000336</x:v>
      </x:c>
      <x:c r="B339" s="50" t="str">
        <x:v>SYN0162</x:v>
      </x:c>
      <x:c r="C339" s="50" t="str">
        <x:v>coach_contact_completed</x:v>
      </x:c>
      <x:c r="D339" s="51" t="n">
        <x:v>46168</x:v>
      </x:c>
    </x:row>
    <x:row r="340">
      <x:c r="A340" s="50" t="str">
        <x:v>EVT000337</x:v>
      </x:c>
      <x:c r="B340" s="50" t="str">
        <x:v>SYN0162</x:v>
      </x:c>
      <x:c r="C340" s="50" t="str">
        <x:v>day30_checkin_completed</x:v>
      </x:c>
      <x:c r="D340" s="51" t="n">
        <x:v>46193</x:v>
      </x:c>
    </x:row>
    <x:row r="341">
      <x:c r="A341" s="50" t="str">
        <x:v>EVT000338</x:v>
      </x:c>
      <x:c r="B341" s="50" t="str">
        <x:v>SYN0162</x:v>
      </x:c>
      <x:c r="C341" s="50" t="str">
        <x:v>day60_activity_observed</x:v>
      </x:c>
      <x:c r="D341" s="51" t="n">
        <x:v>46228</x:v>
      </x:c>
    </x:row>
    <x:row r="342">
      <x:c r="A342" s="50" t="str">
        <x:v>EVT000339</x:v>
      </x:c>
      <x:c r="B342" s="50" t="str">
        <x:v>SYN0163</x:v>
      </x:c>
      <x:c r="C342" s="50" t="str">
        <x:v>coach_contact_completed</x:v>
      </x:c>
      <x:c r="D342" s="51" t="n">
        <x:v>46058</x:v>
      </x:c>
    </x:row>
    <x:row r="343">
      <x:c r="A343" s="50" t="str">
        <x:v>EVT000340</x:v>
      </x:c>
      <x:c r="B343" s="50" t="str">
        <x:v>SYN0163</x:v>
      </x:c>
      <x:c r="C343" s="50" t="str">
        <x:v>day30_checkin_completed</x:v>
      </x:c>
      <x:c r="D343" s="51" t="n">
        <x:v>46094</x:v>
      </x:c>
    </x:row>
    <x:row r="344">
      <x:c r="A344" s="50" t="str">
        <x:v>EVT000341</x:v>
      </x:c>
      <x:c r="B344" s="50" t="str">
        <x:v>SYN0163</x:v>
      </x:c>
      <x:c r="C344" s="50" t="str">
        <x:v>day60_activity_observed</x:v>
      </x:c>
      <x:c r="D344" s="51" t="n">
        <x:v>46117</x:v>
      </x:c>
    </x:row>
    <x:row r="345">
      <x:c r="A345" s="50" t="str">
        <x:v>EVT000342</x:v>
      </x:c>
      <x:c r="B345" s="50" t="str">
        <x:v>SYN0164</x:v>
      </x:c>
      <x:c r="C345" s="50" t="str">
        <x:v>coach_contact_completed</x:v>
      </x:c>
      <x:c r="D345" s="51" t="n">
        <x:v>46069</x:v>
      </x:c>
    </x:row>
    <x:row r="346">
      <x:c r="A346" s="50" t="str">
        <x:v>EVT000343</x:v>
      </x:c>
      <x:c r="B346" s="50" t="str">
        <x:v>SYN0164</x:v>
      </x:c>
      <x:c r="C346" s="50" t="str">
        <x:v>day60_activity_observed</x:v>
      </x:c>
      <x:c r="D346" s="51" t="n">
        <x:v>46136</x:v>
      </x:c>
    </x:row>
    <x:row r="347">
      <x:c r="A347" s="50" t="str">
        <x:v>EVT000344</x:v>
      </x:c>
      <x:c r="B347" s="50" t="str">
        <x:v>SYN0165</x:v>
      </x:c>
      <x:c r="C347" s="50" t="str">
        <x:v>coach_contact_completed</x:v>
      </x:c>
      <x:c r="D347" s="51" t="n">
        <x:v>46244</x:v>
      </x:c>
    </x:row>
    <x:row r="348">
      <x:c r="A348" s="50" t="str">
        <x:v>EVT000345</x:v>
      </x:c>
      <x:c r="B348" s="50" t="str">
        <x:v>SYN0166</x:v>
      </x:c>
      <x:c r="C348" s="50" t="str">
        <x:v>coach_contact_completed</x:v>
      </x:c>
      <x:c r="D348" s="51" t="n">
        <x:v>46081</x:v>
      </x:c>
    </x:row>
    <x:row r="349">
      <x:c r="A349" s="50" t="str">
        <x:v>EVT000346</x:v>
      </x:c>
      <x:c r="B349" s="50" t="str">
        <x:v>SYN0166</x:v>
      </x:c>
      <x:c r="C349" s="50" t="str">
        <x:v>day30_checkin_completed</x:v>
      </x:c>
      <x:c r="D349" s="51" t="n">
        <x:v>46099</x:v>
      </x:c>
    </x:row>
    <x:row r="350">
      <x:c r="A350" s="50" t="str">
        <x:v>EVT000347</x:v>
      </x:c>
      <x:c r="B350" s="50" t="str">
        <x:v>SYN0167</x:v>
      </x:c>
      <x:c r="C350" s="50" t="str">
        <x:v>coach_contact_completed</x:v>
      </x:c>
      <x:c r="D350" s="51" t="n">
        <x:v>46202</x:v>
      </x:c>
    </x:row>
    <x:row r="351">
      <x:c r="A351" s="50" t="str">
        <x:v>EVT000348</x:v>
      </x:c>
      <x:c r="B351" s="50" t="str">
        <x:v>SYN0167</x:v>
      </x:c>
      <x:c r="C351" s="50" t="str">
        <x:v>day60_activity_observed</x:v>
      </x:c>
      <x:c r="D351" s="51" t="n">
        <x:v>46258</x:v>
      </x:c>
    </x:row>
    <x:row r="352">
      <x:c r="A352" s="50" t="str">
        <x:v>EVT000349</x:v>
      </x:c>
      <x:c r="B352" s="50" t="str">
        <x:v>SYN0168</x:v>
      </x:c>
      <x:c r="C352" s="50" t="str">
        <x:v>coach_contact_completed</x:v>
      </x:c>
      <x:c r="D352" s="51" t="n">
        <x:v>46136</x:v>
      </x:c>
    </x:row>
    <x:row r="353">
      <x:c r="A353" s="50" t="str">
        <x:v>EVT000350</x:v>
      </x:c>
      <x:c r="B353" s="50" t="str">
        <x:v>SYN0168</x:v>
      </x:c>
      <x:c r="C353" s="50" t="str">
        <x:v>day30_checkin_completed</x:v>
      </x:c>
      <x:c r="D353" s="51" t="n">
        <x:v>46165</x:v>
      </x:c>
    </x:row>
    <x:row r="354">
      <x:c r="A354" s="50" t="str">
        <x:v>EVT000351</x:v>
      </x:c>
      <x:c r="B354" s="50" t="str">
        <x:v>SYN0168</x:v>
      </x:c>
      <x:c r="C354" s="50" t="str">
        <x:v>day60_activity_observed</x:v>
      </x:c>
      <x:c r="D354" s="51" t="n">
        <x:v>46193</x:v>
      </x:c>
    </x:row>
    <x:row r="355">
      <x:c r="A355" s="50" t="str">
        <x:v>EVT000352</x:v>
      </x:c>
      <x:c r="B355" s="50" t="str">
        <x:v>SYN0169</x:v>
      </x:c>
      <x:c r="C355" s="50" t="str">
        <x:v>day60_activity_observed</x:v>
      </x:c>
      <x:c r="D355" s="51" t="n">
        <x:v>46291</x:v>
      </x:c>
    </x:row>
    <x:row r="356">
      <x:c r="A356" s="50" t="str">
        <x:v>EVT000353</x:v>
      </x:c>
      <x:c r="B356" s="50" t="str">
        <x:v>SYN0170</x:v>
      </x:c>
      <x:c r="C356" s="50" t="str">
        <x:v>coach_contact_completed</x:v>
      </x:c>
      <x:c r="D356" s="51" t="n">
        <x:v>46253</x:v>
      </x:c>
    </x:row>
    <x:row r="357">
      <x:c r="A357" s="50" t="str">
        <x:v>EVT000354</x:v>
      </x:c>
      <x:c r="B357" s="50" t="str">
        <x:v>SYN0170</x:v>
      </x:c>
      <x:c r="C357" s="50" t="str">
        <x:v>day30_checkin_completed</x:v>
      </x:c>
      <x:c r="D357" s="51" t="n">
        <x:v>46287</x:v>
      </x:c>
    </x:row>
    <x:row r="358">
      <x:c r="A358" s="50" t="str">
        <x:v>EVT000355</x:v>
      </x:c>
      <x:c r="B358" s="50" t="str">
        <x:v>SYN0171</x:v>
      </x:c>
      <x:c r="C358" s="50" t="str">
        <x:v>day30_checkin_completed</x:v>
      </x:c>
      <x:c r="D358" s="51" t="n">
        <x:v>46142</x:v>
      </x:c>
    </x:row>
    <x:row r="359">
      <x:c r="A359" s="50" t="str">
        <x:v>EVT000356</x:v>
      </x:c>
      <x:c r="B359" s="50" t="str">
        <x:v>SYN0171</x:v>
      </x:c>
      <x:c r="C359" s="50" t="str">
        <x:v>day60_activity_observed</x:v>
      </x:c>
      <x:c r="D359" s="51" t="n">
        <x:v>46168</x:v>
      </x:c>
    </x:row>
    <x:row r="360">
      <x:c r="A360" s="50" t="str">
        <x:v>EVT000357</x:v>
      </x:c>
      <x:c r="B360" s="50" t="str">
        <x:v>SYN0172</x:v>
      </x:c>
      <x:c r="C360" s="50" t="str">
        <x:v>coach_contact_completed</x:v>
      </x:c>
      <x:c r="D360" s="51" t="n">
        <x:v>46095</x:v>
      </x:c>
    </x:row>
    <x:row r="361">
      <x:c r="A361" s="50" t="str">
        <x:v>EVT000358</x:v>
      </x:c>
      <x:c r="B361" s="50" t="str">
        <x:v>SYN0172</x:v>
      </x:c>
      <x:c r="C361" s="50" t="str">
        <x:v>day60_activity_observed</x:v>
      </x:c>
      <x:c r="D361" s="51" t="n">
        <x:v>46148</x:v>
      </x:c>
    </x:row>
    <x:row r="362">
      <x:c r="A362" s="50" t="str">
        <x:v>EVT000359</x:v>
      </x:c>
      <x:c r="B362" s="50" t="str">
        <x:v>SYN0173</x:v>
      </x:c>
      <x:c r="C362" s="50" t="str">
        <x:v>coach_contact_completed</x:v>
      </x:c>
      <x:c r="D362" s="51" t="n">
        <x:v>46264</x:v>
      </x:c>
    </x:row>
    <x:row r="363">
      <x:c r="A363" s="50" t="str">
        <x:v>EVT000360</x:v>
      </x:c>
      <x:c r="B363" s="50" t="str">
        <x:v>SYN0174</x:v>
      </x:c>
      <x:c r="C363" s="50" t="str">
        <x:v>coach_contact_completed</x:v>
      </x:c>
      <x:c r="D363" s="51" t="n">
        <x:v>46137</x:v>
      </x:c>
    </x:row>
    <x:row r="364">
      <x:c r="A364" s="50" t="str">
        <x:v>EVT000361</x:v>
      </x:c>
      <x:c r="B364" s="50" t="str">
        <x:v>SYN0175</x:v>
      </x:c>
      <x:c r="C364" s="50" t="str">
        <x:v>coach_contact_completed</x:v>
      </x:c>
      <x:c r="D364" s="51" t="n">
        <x:v>46110</x:v>
      </x:c>
    </x:row>
    <x:row r="365">
      <x:c r="A365" s="50" t="str">
        <x:v>EVT000362</x:v>
      </x:c>
      <x:c r="B365" s="50" t="str">
        <x:v>SYN0175</x:v>
      </x:c>
      <x:c r="C365" s="50" t="str">
        <x:v>day30_checkin_completed</x:v>
      </x:c>
      <x:c r="D365" s="51" t="n">
        <x:v>46137</x:v>
      </x:c>
    </x:row>
    <x:row r="366">
      <x:c r="A366" s="50" t="str">
        <x:v>EVT000363</x:v>
      </x:c>
      <x:c r="B366" s="50" t="str">
        <x:v>SYN0175</x:v>
      </x:c>
      <x:c r="C366" s="50" t="str">
        <x:v>day60_activity_observed</x:v>
      </x:c>
      <x:c r="D366" s="51" t="n">
        <x:v>46181</x:v>
      </x:c>
    </x:row>
    <x:row r="367">
      <x:c r="A367" s="50" t="str">
        <x:v>EVT000364</x:v>
      </x:c>
      <x:c r="B367" s="50" t="str">
        <x:v>SYN0176</x:v>
      </x:c>
      <x:c r="C367" s="50" t="str">
        <x:v>coach_contact_completed</x:v>
      </x:c>
      <x:c r="D367" s="51" t="n">
        <x:v>46130</x:v>
      </x:c>
    </x:row>
    <x:row r="368">
      <x:c r="A368" s="50" t="str">
        <x:v>EVT000365</x:v>
      </x:c>
      <x:c r="B368" s="50" t="str">
        <x:v>SYN0176</x:v>
      </x:c>
      <x:c r="C368" s="50" t="str">
        <x:v>day30_checkin_completed</x:v>
      </x:c>
      <x:c r="D368" s="51" t="n">
        <x:v>46146</x:v>
      </x:c>
    </x:row>
    <x:row r="369">
      <x:c r="A369" s="50" t="str">
        <x:v>EVT000366</x:v>
      </x:c>
      <x:c r="B369" s="50" t="str">
        <x:v>SYN0176</x:v>
      </x:c>
      <x:c r="C369" s="50" t="str">
        <x:v>day60_activity_observed</x:v>
      </x:c>
      <x:c r="D369" s="51" t="n">
        <x:v>46183</x:v>
      </x:c>
    </x:row>
    <x:row r="370">
      <x:c r="A370" s="50" t="str">
        <x:v>EVT000367</x:v>
      </x:c>
      <x:c r="B370" s="50" t="str">
        <x:v>SYN0177</x:v>
      </x:c>
      <x:c r="C370" s="50" t="str">
        <x:v>coach_contact_completed</x:v>
      </x:c>
      <x:c r="D370" s="51" t="n">
        <x:v>46095</x:v>
      </x:c>
    </x:row>
    <x:row r="371">
      <x:c r="A371" s="50" t="str">
        <x:v>EVT000368</x:v>
      </x:c>
      <x:c r="B371" s="50" t="str">
        <x:v>SYN0177</x:v>
      </x:c>
      <x:c r="C371" s="50" t="str">
        <x:v>day30_checkin_completed</x:v>
      </x:c>
      <x:c r="D371" s="51" t="n">
        <x:v>46114</x:v>
      </x:c>
    </x:row>
    <x:row r="372">
      <x:c r="A372" s="50" t="str">
        <x:v>EVT000369</x:v>
      </x:c>
      <x:c r="B372" s="50" t="str">
        <x:v>SYN0177</x:v>
      </x:c>
      <x:c r="C372" s="50" t="str">
        <x:v>day60_activity_observed</x:v>
      </x:c>
      <x:c r="D372" s="51" t="n">
        <x:v>46145</x:v>
      </x:c>
    </x:row>
    <x:row r="373">
      <x:c r="A373" s="50" t="str">
        <x:v>EVT000370</x:v>
      </x:c>
      <x:c r="B373" s="50" t="str">
        <x:v>SYN0178</x:v>
      </x:c>
      <x:c r="C373" s="50" t="str">
        <x:v>coach_contact_completed</x:v>
      </x:c>
      <x:c r="D373" s="51" t="n">
        <x:v>46179</x:v>
      </x:c>
    </x:row>
    <x:row r="374">
      <x:c r="A374" s="50" t="str">
        <x:v>EVT000371</x:v>
      </x:c>
      <x:c r="B374" s="50" t="str">
        <x:v>SYN0178</x:v>
      </x:c>
      <x:c r="C374" s="50" t="str">
        <x:v>day60_activity_observed</x:v>
      </x:c>
      <x:c r="D374" s="51" t="n">
        <x:v>46234</x:v>
      </x:c>
    </x:row>
    <x:row r="375">
      <x:c r="A375" s="50" t="str">
        <x:v>EVT000372</x:v>
      </x:c>
      <x:c r="B375" s="50" t="str">
        <x:v>SYN0179</x:v>
      </x:c>
      <x:c r="C375" s="50" t="str">
        <x:v>day30_checkin_completed</x:v>
      </x:c>
      <x:c r="D375" s="51" t="n">
        <x:v>46059</x:v>
      </x:c>
    </x:row>
    <x:row r="376">
      <x:c r="A376" s="50" t="str">
        <x:v>EVT000373</x:v>
      </x:c>
      <x:c r="B376" s="50" t="str">
        <x:v>SYN0180</x:v>
      </x:c>
      <x:c r="C376" s="50" t="str">
        <x:v>coach_contact_completed</x:v>
      </x:c>
      <x:c r="D376" s="51" t="n">
        <x:v>46266</x:v>
      </x:c>
    </x:row>
    <x:row r="377">
      <x:c r="A377" s="50" t="str">
        <x:v>EVT000374</x:v>
      </x:c>
      <x:c r="B377" s="50" t="str">
        <x:v>SYN0181</x:v>
      </x:c>
      <x:c r="C377" s="50" t="str">
        <x:v>coach_contact_completed</x:v>
      </x:c>
      <x:c r="D377" s="51" t="n">
        <x:v>46226</x:v>
      </x:c>
    </x:row>
    <x:row r="378">
      <x:c r="A378" s="50" t="str">
        <x:v>EVT000375</x:v>
      </x:c>
      <x:c r="B378" s="50" t="str">
        <x:v>SYN0181</x:v>
      </x:c>
      <x:c r="C378" s="50" t="str">
        <x:v>day30_checkin_completed</x:v>
      </x:c>
      <x:c r="D378" s="51" t="n">
        <x:v>46258</x:v>
      </x:c>
    </x:row>
    <x:row r="379">
      <x:c r="A379" s="50" t="str">
        <x:v>EVT000376</x:v>
      </x:c>
      <x:c r="B379" s="50" t="str">
        <x:v>SYN0181</x:v>
      </x:c>
      <x:c r="C379" s="50" t="str">
        <x:v>day60_activity_observed</x:v>
      </x:c>
      <x:c r="D379" s="51" t="n">
        <x:v>46288</x:v>
      </x:c>
    </x:row>
    <x:row r="380">
      <x:c r="A380" s="50" t="str">
        <x:v>EVT000377</x:v>
      </x:c>
      <x:c r="B380" s="50" t="str">
        <x:v>SYN0182</x:v>
      </x:c>
      <x:c r="C380" s="50" t="str">
        <x:v>coach_contact_completed</x:v>
      </x:c>
      <x:c r="D380" s="51" t="n">
        <x:v>46261</x:v>
      </x:c>
    </x:row>
    <x:row r="381">
      <x:c r="A381" s="50" t="str">
        <x:v>EVT000378</x:v>
      </x:c>
      <x:c r="B381" s="50" t="str">
        <x:v>SYN0182</x:v>
      </x:c>
      <x:c r="C381" s="50" t="str">
        <x:v>day30_checkin_completed</x:v>
      </x:c>
      <x:c r="D381" s="51" t="n">
        <x:v>46293</x:v>
      </x:c>
    </x:row>
    <x:row r="382">
      <x:c r="A382" s="50" t="str">
        <x:v>EVT000379</x:v>
      </x:c>
      <x:c r="B382" s="50" t="str">
        <x:v>SYN0183</x:v>
      </x:c>
      <x:c r="C382" s="50" t="str">
        <x:v>coach_contact_completed</x:v>
      </x:c>
      <x:c r="D382" s="51" t="n">
        <x:v>46242</x:v>
      </x:c>
    </x:row>
    <x:row r="383">
      <x:c r="A383" s="50" t="str">
        <x:v>EVT000380</x:v>
      </x:c>
      <x:c r="B383" s="50" t="str">
        <x:v>SYN0183</x:v>
      </x:c>
      <x:c r="C383" s="50" t="str">
        <x:v>day30_checkin_completed</x:v>
      </x:c>
      <x:c r="D383" s="51" t="n">
        <x:v>46264</x:v>
      </x:c>
    </x:row>
    <x:row r="384">
      <x:c r="A384" s="50" t="str">
        <x:v>EVT000381</x:v>
      </x:c>
      <x:c r="B384" s="50" t="str">
        <x:v>SYN0183</x:v>
      </x:c>
      <x:c r="C384" s="50" t="str">
        <x:v>day60_activity_observed</x:v>
      </x:c>
      <x:c r="D384" s="51" t="n">
        <x:v>46294</x:v>
      </x:c>
    </x:row>
    <x:row r="385">
      <x:c r="A385" s="50" t="str">
        <x:v>EVT000382</x:v>
      </x:c>
      <x:c r="B385" s="50" t="str">
        <x:v>SYN0184</x:v>
      </x:c>
      <x:c r="C385" s="50" t="str">
        <x:v>coach_contact_completed</x:v>
      </x:c>
      <x:c r="D385" s="51" t="n">
        <x:v>46260</x:v>
      </x:c>
    </x:row>
    <x:row r="386">
      <x:c r="A386" s="50" t="str">
        <x:v>EVT000383</x:v>
      </x:c>
      <x:c r="B386" s="50" t="str">
        <x:v>SYN0185</x:v>
      </x:c>
      <x:c r="C386" s="50" t="str">
        <x:v>day30_checkin_completed</x:v>
      </x:c>
      <x:c r="D386" s="51" t="n">
        <x:v>46099</x:v>
      </x:c>
    </x:row>
    <x:row r="387">
      <x:c r="A387" s="50" t="str">
        <x:v>EVT000384</x:v>
      </x:c>
      <x:c r="B387" s="50" t="str">
        <x:v>SYN0186</x:v>
      </x:c>
      <x:c r="C387" s="50" t="str">
        <x:v>coach_contact_completed</x:v>
      </x:c>
      <x:c r="D387" s="51" t="n">
        <x:v>46112</x:v>
      </x:c>
    </x:row>
    <x:row r="388">
      <x:c r="A388" s="50" t="str">
        <x:v>EVT000385</x:v>
      </x:c>
      <x:c r="B388" s="50" t="str">
        <x:v>SYN0186</x:v>
      </x:c>
      <x:c r="C388" s="50" t="str">
        <x:v>day30_checkin_completed</x:v>
      </x:c>
      <x:c r="D388" s="51" t="n">
        <x:v>46136</x:v>
      </x:c>
    </x:row>
    <x:row r="389">
      <x:c r="A389" s="50" t="str">
        <x:v>EVT000386</x:v>
      </x:c>
      <x:c r="B389" s="50" t="str">
        <x:v>SYN0186</x:v>
      </x:c>
      <x:c r="C389" s="50" t="str">
        <x:v>day60_activity_observed</x:v>
      </x:c>
      <x:c r="D389" s="51" t="n">
        <x:v>46170</x:v>
      </x:c>
    </x:row>
    <x:row r="390">
      <x:c r="A390" s="50" t="str">
        <x:v>EVT000387</x:v>
      </x:c>
      <x:c r="B390" s="50" t="str">
        <x:v>SYN0187</x:v>
      </x:c>
      <x:c r="C390" s="50" t="str">
        <x:v>coach_contact_completed</x:v>
      </x:c>
      <x:c r="D390" s="51" t="n">
        <x:v>46140</x:v>
      </x:c>
    </x:row>
    <x:row r="391">
      <x:c r="A391" s="50" t="str">
        <x:v>EVT000388</x:v>
      </x:c>
      <x:c r="B391" s="50" t="str">
        <x:v>SYN0187</x:v>
      </x:c>
      <x:c r="C391" s="50" t="str">
        <x:v>day30_checkin_completed</x:v>
      </x:c>
      <x:c r="D391" s="51" t="n">
        <x:v>46165</x:v>
      </x:c>
    </x:row>
    <x:row r="392">
      <x:c r="A392" s="50" t="str">
        <x:v>EVT000389</x:v>
      </x:c>
      <x:c r="B392" s="50" t="str">
        <x:v>SYN0187</x:v>
      </x:c>
      <x:c r="C392" s="50" t="str">
        <x:v>day60_activity_observed</x:v>
      </x:c>
      <x:c r="D392" s="51" t="n">
        <x:v>46196</x:v>
      </x:c>
    </x:row>
    <x:row r="393">
      <x:c r="A393" s="50" t="str">
        <x:v>EVT000390</x:v>
      </x:c>
      <x:c r="B393" s="50" t="str">
        <x:v>SYN0188</x:v>
      </x:c>
      <x:c r="C393" s="50" t="str">
        <x:v>coach_contact_completed</x:v>
      </x:c>
      <x:c r="D393" s="51" t="n">
        <x:v>46233</x:v>
      </x:c>
    </x:row>
    <x:row r="394">
      <x:c r="A394" s="50" t="str">
        <x:v>EVT000391</x:v>
      </x:c>
      <x:c r="B394" s="50" t="str">
        <x:v>SYN0188</x:v>
      </x:c>
      <x:c r="C394" s="50" t="str">
        <x:v>day30_checkin_completed</x:v>
      </x:c>
      <x:c r="D394" s="51" t="n">
        <x:v>46263</x:v>
      </x:c>
    </x:row>
    <x:row r="395">
      <x:c r="A395" s="50" t="str">
        <x:v>EVT000392</x:v>
      </x:c>
      <x:c r="B395" s="50" t="str">
        <x:v>SYN0189</x:v>
      </x:c>
      <x:c r="C395" s="50" t="str">
        <x:v>day30_checkin_completed</x:v>
      </x:c>
      <x:c r="D395" s="51" t="n">
        <x:v>46093</x:v>
      </x:c>
    </x:row>
    <x:row r="396">
      <x:c r="A396" s="50" t="str">
        <x:v>EVT000393</x:v>
      </x:c>
      <x:c r="B396" s="50" t="str">
        <x:v>SYN0190</x:v>
      </x:c>
      <x:c r="C396" s="50" t="str">
        <x:v>coach_contact_completed</x:v>
      </x:c>
      <x:c r="D396" s="51" t="n">
        <x:v>46206</x:v>
      </x:c>
    </x:row>
    <x:row r="397">
      <x:c r="A397" s="50" t="str">
        <x:v>EVT000394</x:v>
      </x:c>
      <x:c r="B397" s="50" t="str">
        <x:v>SYN0190</x:v>
      </x:c>
      <x:c r="C397" s="50" t="str">
        <x:v>day30_checkin_completed</x:v>
      </x:c>
      <x:c r="D397" s="51" t="n">
        <x:v>46233</x:v>
      </x:c>
    </x:row>
    <x:row r="398">
      <x:c r="A398" s="50" t="str">
        <x:v>EVT000395</x:v>
      </x:c>
      <x:c r="B398" s="50" t="str">
        <x:v>SYN0191</x:v>
      </x:c>
      <x:c r="C398" s="50" t="str">
        <x:v>coach_contact_completed</x:v>
      </x:c>
      <x:c r="D398" s="51" t="n">
        <x:v>46039</x:v>
      </x:c>
    </x:row>
    <x:row r="399">
      <x:c r="A399" s="50" t="str">
        <x:v>EVT000396</x:v>
      </x:c>
      <x:c r="B399" s="50" t="str">
        <x:v>SYN0191</x:v>
      </x:c>
      <x:c r="C399" s="50" t="str">
        <x:v>day30_checkin_completed</x:v>
      </x:c>
      <x:c r="D399" s="51" t="n">
        <x:v>46059</x:v>
      </x:c>
    </x:row>
    <x:row r="400">
      <x:c r="A400" s="50" t="str">
        <x:v>EVT000397</x:v>
      </x:c>
      <x:c r="B400" s="50" t="str">
        <x:v>SYN0191</x:v>
      </x:c>
      <x:c r="C400" s="50" t="str">
        <x:v>day60_activity_observed</x:v>
      </x:c>
      <x:c r="D400" s="51" t="n">
        <x:v>46091</x:v>
      </x:c>
    </x:row>
    <x:row r="401">
      <x:c r="A401" s="50" t="str">
        <x:v>EVT000398</x:v>
      </x:c>
      <x:c r="B401" s="50" t="str">
        <x:v>SYN0192</x:v>
      </x:c>
      <x:c r="C401" s="50" t="str">
        <x:v>coach_contact_completed</x:v>
      </x:c>
      <x:c r="D401" s="51" t="n">
        <x:v>46239</x:v>
      </x:c>
    </x:row>
    <x:row r="402">
      <x:c r="A402" s="50" t="str">
        <x:v>EVT000399</x:v>
      </x:c>
      <x:c r="B402" s="50" t="str">
        <x:v>SYN0193</x:v>
      </x:c>
      <x:c r="C402" s="50" t="str">
        <x:v>coach_contact_completed</x:v>
      </x:c>
      <x:c r="D402" s="51" t="n">
        <x:v>46100</x:v>
      </x:c>
    </x:row>
    <x:row r="403">
      <x:c r="A403" s="50" t="str">
        <x:v>EVT000400</x:v>
      </x:c>
      <x:c r="B403" s="50" t="str">
        <x:v>SYN0193</x:v>
      </x:c>
      <x:c r="C403" s="50" t="str">
        <x:v>day30_checkin_completed</x:v>
      </x:c>
      <x:c r="D403" s="51" t="n">
        <x:v>46130</x:v>
      </x:c>
    </x:row>
    <x:row r="404">
      <x:c r="A404" s="50" t="str">
        <x:v>EVT000401</x:v>
      </x:c>
      <x:c r="B404" s="50" t="str">
        <x:v>SYN0193</x:v>
      </x:c>
      <x:c r="C404" s="50" t="str">
        <x:v>day60_activity_observed</x:v>
      </x:c>
      <x:c r="D404" s="51" t="n">
        <x:v>46164</x:v>
      </x:c>
    </x:row>
    <x:row r="405">
      <x:c r="A405" s="50" t="str">
        <x:v>EVT000402</x:v>
      </x:c>
      <x:c r="B405" s="50" t="str">
        <x:v>SYN0194</x:v>
      </x:c>
      <x:c r="C405" s="50" t="str">
        <x:v>coach_contact_completed</x:v>
      </x:c>
      <x:c r="D405" s="51" t="n">
        <x:v>46086</x:v>
      </x:c>
    </x:row>
    <x:row r="406">
      <x:c r="A406" s="50" t="str">
        <x:v>EVT000403</x:v>
      </x:c>
      <x:c r="B406" s="50" t="str">
        <x:v>SYN0194</x:v>
      </x:c>
      <x:c r="C406" s="50" t="str">
        <x:v>day60_activity_observed</x:v>
      </x:c>
      <x:c r="D406" s="51" t="n">
        <x:v>46153</x:v>
      </x:c>
    </x:row>
    <x:row r="407">
      <x:c r="A407" s="50" t="str">
        <x:v>EVT000404</x:v>
      </x:c>
      <x:c r="B407" s="50" t="str">
        <x:v>SYN0195</x:v>
      </x:c>
      <x:c r="C407" s="50" t="str">
        <x:v>coach_contact_completed</x:v>
      </x:c>
      <x:c r="D407" s="51" t="n">
        <x:v>46073</x:v>
      </x:c>
    </x:row>
    <x:row r="408">
      <x:c r="A408" s="50" t="str">
        <x:v>EVT000405</x:v>
      </x:c>
      <x:c r="B408" s="50" t="str">
        <x:v>SYN0196</x:v>
      </x:c>
      <x:c r="C408" s="50" t="str">
        <x:v>coach_contact_completed</x:v>
      </x:c>
      <x:c r="D408" s="51" t="n">
        <x:v>46107</x:v>
      </x:c>
    </x:row>
    <x:row r="409">
      <x:c r="A409" s="50" t="str">
        <x:v>EVT000406</x:v>
      </x:c>
      <x:c r="B409" s="50" t="str">
        <x:v>SYN0196</x:v>
      </x:c>
      <x:c r="C409" s="50" t="str">
        <x:v>day30_checkin_completed</x:v>
      </x:c>
      <x:c r="D409" s="51" t="n">
        <x:v>46144</x:v>
      </x:c>
    </x:row>
    <x:row r="410">
      <x:c r="A410" s="50" t="str">
        <x:v>EVT000407</x:v>
      </x:c>
      <x:c r="B410" s="50" t="str">
        <x:v>SYN0196</x:v>
      </x:c>
      <x:c r="C410" s="50" t="str">
        <x:v>day60_activity_observed</x:v>
      </x:c>
      <x:c r="D410" s="51" t="n">
        <x:v>46173</x:v>
      </x:c>
    </x:row>
    <x:row r="411">
      <x:c r="A411" s="50" t="str">
        <x:v>EVT000408</x:v>
      </x:c>
      <x:c r="B411" s="50" t="str">
        <x:v>SYN0197</x:v>
      </x:c>
      <x:c r="C411" s="50" t="str">
        <x:v>coach_contact_completed</x:v>
      </x:c>
      <x:c r="D411" s="51" t="n">
        <x:v>46156</x:v>
      </x:c>
    </x:row>
    <x:row r="412">
      <x:c r="A412" s="50" t="str">
        <x:v>EVT000409</x:v>
      </x:c>
      <x:c r="B412" s="50" t="str">
        <x:v>SYN0197</x:v>
      </x:c>
      <x:c r="C412" s="50" t="str">
        <x:v>day30_checkin_completed</x:v>
      </x:c>
      <x:c r="D412" s="51" t="n">
        <x:v>46187</x:v>
      </x:c>
    </x:row>
    <x:row r="413">
      <x:c r="A413" s="50" t="str">
        <x:v>EVT000410</x:v>
      </x:c>
      <x:c r="B413" s="50" t="str">
        <x:v>SYN0197</x:v>
      </x:c>
      <x:c r="C413" s="50" t="str">
        <x:v>day60_activity_observed</x:v>
      </x:c>
      <x:c r="D413" s="51" t="n">
        <x:v>46226</x:v>
      </x:c>
    </x:row>
    <x:row r="414">
      <x:c r="A414" s="50" t="str">
        <x:v>EVT000411</x:v>
      </x:c>
      <x:c r="B414" s="50" t="str">
        <x:v>SYN0198</x:v>
      </x:c>
      <x:c r="C414" s="50" t="str">
        <x:v>coach_contact_completed</x:v>
      </x:c>
      <x:c r="D414" s="51" t="n">
        <x:v>46080</x:v>
      </x:c>
    </x:row>
    <x:row r="415">
      <x:c r="A415" s="50" t="str">
        <x:v>EVT000412</x:v>
      </x:c>
      <x:c r="B415" s="50" t="str">
        <x:v>SYN0198</x:v>
      </x:c>
      <x:c r="C415" s="50" t="str">
        <x:v>day30_checkin_completed</x:v>
      </x:c>
      <x:c r="D415" s="51" t="n">
        <x:v>46108</x:v>
      </x:c>
    </x:row>
    <x:row r="416">
      <x:c r="A416" s="50" t="str">
        <x:v>EVT000413</x:v>
      </x:c>
      <x:c r="B416" s="50" t="str">
        <x:v>SYN0199</x:v>
      </x:c>
      <x:c r="C416" s="50" t="str">
        <x:v>coach_contact_completed</x:v>
      </x:c>
      <x:c r="D416" s="51" t="n">
        <x:v>46166</x:v>
      </x:c>
    </x:row>
    <x:row r="417">
      <x:c r="A417" s="50" t="str">
        <x:v>EVT000414</x:v>
      </x:c>
      <x:c r="B417" s="50" t="str">
        <x:v>SYN0199</x:v>
      </x:c>
      <x:c r="C417" s="50" t="str">
        <x:v>day30_checkin_completed</x:v>
      </x:c>
      <x:c r="D417" s="51" t="n">
        <x:v>46192</x:v>
      </x:c>
    </x:row>
    <x:row r="418">
      <x:c r="A418" s="50" t="str">
        <x:v>EVT000415</x:v>
      </x:c>
      <x:c r="B418" s="50" t="str">
        <x:v>SYN0200</x:v>
      </x:c>
      <x:c r="C418" s="50" t="str">
        <x:v>coach_contact_completed</x:v>
      </x:c>
      <x:c r="D418" s="51" t="n">
        <x:v>46072</x:v>
      </x:c>
    </x:row>
    <x:row r="419">
      <x:c r="A419" s="50" t="str">
        <x:v>EVT000416</x:v>
      </x:c>
      <x:c r="B419" s="50" t="str">
        <x:v>SYN0200</x:v>
      </x:c>
      <x:c r="C419" s="50" t="str">
        <x:v>day30_checkin_completed</x:v>
      </x:c>
      <x:c r="D419" s="51" t="n">
        <x:v>46096</x:v>
      </x:c>
    </x:row>
    <x:row r="420">
      <x:c r="A420" s="50" t="str">
        <x:v>EVT000417</x:v>
      </x:c>
      <x:c r="B420" s="50" t="str">
        <x:v>SYN0200</x:v>
      </x:c>
      <x:c r="C420" s="50" t="str">
        <x:v>day60_activity_observed</x:v>
      </x:c>
      <x:c r="D420" s="51" t="n">
        <x:v>46139</x:v>
      </x:c>
    </x:row>
    <x:row r="421">
      <x:c r="A421" s="50" t="str">
        <x:v>EVT000418</x:v>
      </x:c>
      <x:c r="B421" s="50" t="str">
        <x:v>SYN0201</x:v>
      </x:c>
      <x:c r="C421" s="50" t="str">
        <x:v>coach_contact_completed</x:v>
      </x:c>
      <x:c r="D421" s="51" t="n">
        <x:v>46069</x:v>
      </x:c>
    </x:row>
    <x:row r="422">
      <x:c r="A422" s="50" t="str">
        <x:v>EVT000419</x:v>
      </x:c>
      <x:c r="B422" s="50" t="str">
        <x:v>SYN0201</x:v>
      </x:c>
      <x:c r="C422" s="50" t="str">
        <x:v>day30_checkin_completed</x:v>
      </x:c>
      <x:c r="D422" s="51" t="n">
        <x:v>46097</x:v>
      </x:c>
    </x:row>
    <x:row r="423">
      <x:c r="A423" s="50" t="str">
        <x:v>EVT000420</x:v>
      </x:c>
      <x:c r="B423" s="50" t="str">
        <x:v>SYN0201</x:v>
      </x:c>
      <x:c r="C423" s="50" t="str">
        <x:v>day60_activity_observed</x:v>
      </x:c>
      <x:c r="D423" s="51" t="n">
        <x:v>46132</x:v>
      </x:c>
    </x:row>
    <x:row r="424">
      <x:c r="A424" s="50" t="str">
        <x:v>EVT000421</x:v>
      </x:c>
      <x:c r="B424" s="50" t="str">
        <x:v>SYN0202</x:v>
      </x:c>
      <x:c r="C424" s="50" t="str">
        <x:v>coach_contact_completed</x:v>
      </x:c>
      <x:c r="D424" s="51" t="n">
        <x:v>46143</x:v>
      </x:c>
    </x:row>
    <x:row r="425">
      <x:c r="A425" s="50" t="str">
        <x:v>EVT000422</x:v>
      </x:c>
      <x:c r="B425" s="50" t="str">
        <x:v>SYN0202</x:v>
      </x:c>
      <x:c r="C425" s="50" t="str">
        <x:v>day30_checkin_completed</x:v>
      </x:c>
      <x:c r="D425" s="51" t="n">
        <x:v>46179</x:v>
      </x:c>
    </x:row>
    <x:row r="426">
      <x:c r="A426" s="50" t="str">
        <x:v>EVT000423</x:v>
      </x:c>
      <x:c r="B426" s="50" t="str">
        <x:v>SYN0202</x:v>
      </x:c>
      <x:c r="C426" s="50" t="str">
        <x:v>day60_activity_observed</x:v>
      </x:c>
      <x:c r="D426" s="51" t="n">
        <x:v>46205</x:v>
      </x:c>
    </x:row>
    <x:row r="427">
      <x:c r="A427" s="50" t="str">
        <x:v>EVT000424</x:v>
      </x:c>
      <x:c r="B427" s="50" t="str">
        <x:v>SYN0203</x:v>
      </x:c>
      <x:c r="C427" s="50" t="str">
        <x:v>coach_contact_completed</x:v>
      </x:c>
      <x:c r="D427" s="51" t="n">
        <x:v>46066</x:v>
      </x:c>
    </x:row>
    <x:row r="428">
      <x:c r="A428" s="50" t="str">
        <x:v>EVT000425</x:v>
      </x:c>
      <x:c r="B428" s="50" t="str">
        <x:v>SYN0203</x:v>
      </x:c>
      <x:c r="C428" s="50" t="str">
        <x:v>day60_activity_observed</x:v>
      </x:c>
      <x:c r="D428" s="51" t="n">
        <x:v>46130</x:v>
      </x:c>
    </x:row>
    <x:row r="429">
      <x:c r="A429" s="50" t="str">
        <x:v>EVT000426</x:v>
      </x:c>
      <x:c r="B429" s="50" t="str">
        <x:v>SYN0204</x:v>
      </x:c>
      <x:c r="C429" s="50" t="str">
        <x:v>day30_checkin_completed</x:v>
      </x:c>
      <x:c r="D429" s="51" t="n">
        <x:v>46262</x:v>
      </x:c>
    </x:row>
    <x:row r="430">
      <x:c r="A430" s="50" t="str">
        <x:v>EVT000427</x:v>
      </x:c>
      <x:c r="B430" s="50" t="str">
        <x:v>SYN0205</x:v>
      </x:c>
      <x:c r="C430" s="50" t="str">
        <x:v>coach_contact_completed</x:v>
      </x:c>
      <x:c r="D430" s="51" t="n">
        <x:v>46039</x:v>
      </x:c>
    </x:row>
    <x:row r="431">
      <x:c r="A431" s="50" t="str">
        <x:v>EVT000428</x:v>
      </x:c>
      <x:c r="B431" s="50" t="str">
        <x:v>SYN0205</x:v>
      </x:c>
      <x:c r="C431" s="50" t="str">
        <x:v>day60_activity_observed</x:v>
      </x:c>
      <x:c r="D431" s="51" t="n">
        <x:v>46087</x:v>
      </x:c>
    </x:row>
    <x:row r="432">
      <x:c r="A432" s="50" t="str">
        <x:v>EVT000429</x:v>
      </x:c>
      <x:c r="B432" s="50" t="str">
        <x:v>SYN0206</x:v>
      </x:c>
      <x:c r="C432" s="50" t="str">
        <x:v>coach_contact_completed</x:v>
      </x:c>
      <x:c r="D432" s="51" t="n">
        <x:v>46162</x:v>
      </x:c>
    </x:row>
    <x:row r="433">
      <x:c r="A433" s="50" t="str">
        <x:v>EVT000430</x:v>
      </x:c>
      <x:c r="B433" s="50" t="str">
        <x:v>SYN0206</x:v>
      </x:c>
      <x:c r="C433" s="50" t="str">
        <x:v>day60_activity_observed</x:v>
      </x:c>
      <x:c r="D433" s="51" t="n">
        <x:v>46226</x:v>
      </x:c>
    </x:row>
    <x:row r="434">
      <x:c r="A434" s="50" t="str">
        <x:v>EVT000431</x:v>
      </x:c>
      <x:c r="B434" s="50" t="str">
        <x:v>SYN0207</x:v>
      </x:c>
      <x:c r="C434" s="50" t="str">
        <x:v>coach_contact_completed</x:v>
      </x:c>
      <x:c r="D434" s="51" t="n">
        <x:v>46149</x:v>
      </x:c>
    </x:row>
    <x:row r="435">
      <x:c r="A435" s="50" t="str">
        <x:v>EVT000432</x:v>
      </x:c>
      <x:c r="B435" s="50" t="str">
        <x:v>SYN0207</x:v>
      </x:c>
      <x:c r="C435" s="50" t="str">
        <x:v>day60_activity_observed</x:v>
      </x:c>
      <x:c r="D435" s="51" t="n">
        <x:v>46219</x:v>
      </x:c>
    </x:row>
    <x:row r="436">
      <x:c r="A436" s="50" t="str">
        <x:v>EVT000433</x:v>
      </x:c>
      <x:c r="B436" s="50" t="str">
        <x:v>SYN0208</x:v>
      </x:c>
      <x:c r="C436" s="50" t="str">
        <x:v>coach_contact_completed</x:v>
      </x:c>
      <x:c r="D436" s="51" t="n">
        <x:v>46159</x:v>
      </x:c>
    </x:row>
    <x:row r="437">
      <x:c r="A437" s="50" t="str">
        <x:v>EVT000434</x:v>
      </x:c>
      <x:c r="B437" s="50" t="str">
        <x:v>SYN0208</x:v>
      </x:c>
      <x:c r="C437" s="50" t="str">
        <x:v>day30_checkin_completed</x:v>
      </x:c>
      <x:c r="D437" s="51" t="n">
        <x:v>46191</x:v>
      </x:c>
    </x:row>
    <x:row r="438">
      <x:c r="A438" s="50" t="str">
        <x:v>EVT000435</x:v>
      </x:c>
      <x:c r="B438" s="50" t="str">
        <x:v>SYN0208</x:v>
      </x:c>
      <x:c r="C438" s="50" t="str">
        <x:v>day60_activity_observed</x:v>
      </x:c>
      <x:c r="D438" s="51" t="n">
        <x:v>46226</x:v>
      </x:c>
    </x:row>
    <x:row r="439">
      <x:c r="A439" s="50" t="str">
        <x:v>EVT000436</x:v>
      </x:c>
      <x:c r="B439" s="50" t="str">
        <x:v>SYN0209</x:v>
      </x:c>
      <x:c r="C439" s="50" t="str">
        <x:v>coach_contact_completed</x:v>
      </x:c>
      <x:c r="D439" s="51" t="n">
        <x:v>46197</x:v>
      </x:c>
    </x:row>
    <x:row r="440">
      <x:c r="A440" s="50" t="str">
        <x:v>EVT000437</x:v>
      </x:c>
      <x:c r="B440" s="50" t="str">
        <x:v>SYN0209</x:v>
      </x:c>
      <x:c r="C440" s="50" t="str">
        <x:v>day60_activity_observed</x:v>
      </x:c>
      <x:c r="D440" s="51" t="n">
        <x:v>46257</x:v>
      </x:c>
    </x:row>
    <x:row r="441">
      <x:c r="A441" s="50" t="str">
        <x:v>EVT000438</x:v>
      </x:c>
      <x:c r="B441" s="50" t="str">
        <x:v>SYN0210</x:v>
      </x:c>
      <x:c r="C441" s="50" t="str">
        <x:v>coach_contact_completed</x:v>
      </x:c>
      <x:c r="D441" s="51" t="n">
        <x:v>46045</x:v>
      </x:c>
    </x:row>
    <x:row r="442">
      <x:c r="A442" s="50" t="str">
        <x:v>EVT000439</x:v>
      </x:c>
      <x:c r="B442" s="50" t="str">
        <x:v>SYN0210</x:v>
      </x:c>
      <x:c r="C442" s="50" t="str">
        <x:v>day30_checkin_completed</x:v>
      </x:c>
      <x:c r="D442" s="51" t="n">
        <x:v>46063</x:v>
      </x:c>
    </x:row>
    <x:row r="443">
      <x:c r="A443" s="50" t="str">
        <x:v>EVT000440</x:v>
      </x:c>
      <x:c r="B443" s="50" t="str">
        <x:v>SYN0211</x:v>
      </x:c>
      <x:c r="C443" s="50" t="str">
        <x:v>coach_contact_completed</x:v>
      </x:c>
      <x:c r="D443" s="51" t="n">
        <x:v>46073</x:v>
      </x:c>
    </x:row>
    <x:row r="444">
      <x:c r="A444" s="50" t="str">
        <x:v>EVT000441</x:v>
      </x:c>
      <x:c r="B444" s="50" t="str">
        <x:v>SYN0211</x:v>
      </x:c>
      <x:c r="C444" s="50" t="str">
        <x:v>day60_activity_observed</x:v>
      </x:c>
      <x:c r="D444" s="51" t="n">
        <x:v>46137</x:v>
      </x:c>
    </x:row>
    <x:row r="445">
      <x:c r="A445" s="50" t="str">
        <x:v>EVT000442</x:v>
      </x:c>
      <x:c r="B445" s="50" t="str">
        <x:v>SYN0212</x:v>
      </x:c>
      <x:c r="C445" s="50" t="str">
        <x:v>coach_contact_completed</x:v>
      </x:c>
      <x:c r="D445" s="51" t="n">
        <x:v>46246</x:v>
      </x:c>
    </x:row>
    <x:row r="446">
      <x:c r="A446" s="50" t="str">
        <x:v>EVT000443</x:v>
      </x:c>
      <x:c r="B446" s="50" t="str">
        <x:v>SYN0212</x:v>
      </x:c>
      <x:c r="C446" s="50" t="str">
        <x:v>day30_checkin_completed</x:v>
      </x:c>
      <x:c r="D446" s="51" t="n">
        <x:v>46271</x:v>
      </x:c>
    </x:row>
    <x:row r="447">
      <x:c r="A447" s="50" t="str">
        <x:v>EVT000444</x:v>
      </x:c>
      <x:c r="B447" s="50" t="str">
        <x:v>SYN0214</x:v>
      </x:c>
      <x:c r="C447" s="50" t="str">
        <x:v>day30_checkin_completed</x:v>
      </x:c>
      <x:c r="D447" s="51" t="n">
        <x:v>46177</x:v>
      </x:c>
    </x:row>
    <x:row r="448">
      <x:c r="A448" s="50" t="str">
        <x:v>EVT000445</x:v>
      </x:c>
      <x:c r="B448" s="50" t="str">
        <x:v>SYN0215</x:v>
      </x:c>
      <x:c r="C448" s="50" t="str">
        <x:v>coach_contact_completed</x:v>
      </x:c>
      <x:c r="D448" s="51" t="n">
        <x:v>46141</x:v>
      </x:c>
    </x:row>
    <x:row r="449">
      <x:c r="A449" s="50" t="str">
        <x:v>EVT000446</x:v>
      </x:c>
      <x:c r="B449" s="50" t="str">
        <x:v>SYN0215</x:v>
      </x:c>
      <x:c r="C449" s="50" t="str">
        <x:v>day30_checkin_completed</x:v>
      </x:c>
      <x:c r="D449" s="51" t="n">
        <x:v>46172</x:v>
      </x:c>
    </x:row>
    <x:row r="450">
      <x:c r="A450" s="50" t="str">
        <x:v>EVT000447</x:v>
      </x:c>
      <x:c r="B450" s="50" t="str">
        <x:v>SYN0215</x:v>
      </x:c>
      <x:c r="C450" s="50" t="str">
        <x:v>day60_activity_observed</x:v>
      </x:c>
      <x:c r="D450" s="51" t="n">
        <x:v>46209</x:v>
      </x:c>
    </x:row>
    <x:row r="451">
      <x:c r="A451" s="50" t="str">
        <x:v>EVT000448</x:v>
      </x:c>
      <x:c r="B451" s="50" t="str">
        <x:v>SYN0216</x:v>
      </x:c>
      <x:c r="C451" s="50" t="str">
        <x:v>day30_checkin_completed</x:v>
      </x:c>
      <x:c r="D451" s="51" t="n">
        <x:v>46119</x:v>
      </x:c>
    </x:row>
    <x:row r="452">
      <x:c r="A452" s="50" t="str">
        <x:v>EVT000449</x:v>
      </x:c>
      <x:c r="B452" s="50" t="str">
        <x:v>SYN0217</x:v>
      </x:c>
      <x:c r="C452" s="50" t="str">
        <x:v>coach_contact_completed</x:v>
      </x:c>
      <x:c r="D452" s="51" t="n">
        <x:v>46232</x:v>
      </x:c>
    </x:row>
    <x:row r="453">
      <x:c r="A453" s="50" t="str">
        <x:v>EVT000450</x:v>
      </x:c>
      <x:c r="B453" s="50" t="str">
        <x:v>SYN0217</x:v>
      </x:c>
      <x:c r="C453" s="50" t="str">
        <x:v>day30_checkin_completed</x:v>
      </x:c>
      <x:c r="D453" s="51" t="n">
        <x:v>46261</x:v>
      </x:c>
    </x:row>
    <x:row r="454">
      <x:c r="A454" s="50" t="str">
        <x:v>EVT000451</x:v>
      </x:c>
      <x:c r="B454" s="50" t="str">
        <x:v>SYN0218</x:v>
      </x:c>
      <x:c r="C454" s="50" t="str">
        <x:v>day30_checkin_completed</x:v>
      </x:c>
      <x:c r="D454" s="51" t="n">
        <x:v>46287</x:v>
      </x:c>
    </x:row>
    <x:row r="455">
      <x:c r="A455" s="50" t="str">
        <x:v>EVT000452</x:v>
      </x:c>
      <x:c r="B455" s="50" t="str">
        <x:v>SYN0219</x:v>
      </x:c>
      <x:c r="C455" s="50" t="str">
        <x:v>day30_checkin_completed</x:v>
      </x:c>
      <x:c r="D455" s="51" t="n">
        <x:v>46223</x:v>
      </x:c>
    </x:row>
    <x:row r="456">
      <x:c r="A456" s="50" t="str">
        <x:v>EVT000453</x:v>
      </x:c>
      <x:c r="B456" s="50" t="str">
        <x:v>SYN0220</x:v>
      </x:c>
      <x:c r="C456" s="50" t="str">
        <x:v>coach_contact_completed</x:v>
      </x:c>
      <x:c r="D456" s="51" t="n">
        <x:v>46077</x:v>
      </x:c>
    </x:row>
    <x:row r="457">
      <x:c r="A457" s="50" t="str">
        <x:v>EVT000454</x:v>
      </x:c>
      <x:c r="B457" s="50" t="str">
        <x:v>SYN0220</x:v>
      </x:c>
      <x:c r="C457" s="50" t="str">
        <x:v>day60_activity_observed</x:v>
      </x:c>
      <x:c r="D457" s="51" t="n">
        <x:v>46137</x:v>
      </x:c>
    </x:row>
    <x:row r="458">
      <x:c r="A458" s="50" t="str">
        <x:v>EVT000455</x:v>
      </x:c>
      <x:c r="B458" s="50" t="str">
        <x:v>SYN0221</x:v>
      </x:c>
      <x:c r="C458" s="50" t="str">
        <x:v>day60_activity_observed</x:v>
      </x:c>
      <x:c r="D458" s="51" t="n">
        <x:v>46174</x:v>
      </x:c>
    </x:row>
    <x:row r="459">
      <x:c r="A459" s="50" t="str">
        <x:v>EVT000456</x:v>
      </x:c>
      <x:c r="B459" s="50" t="str">
        <x:v>SYN0222</x:v>
      </x:c>
      <x:c r="C459" s="50" t="str">
        <x:v>coach_contact_completed</x:v>
      </x:c>
      <x:c r="D459" s="51" t="n">
        <x:v>46182</x:v>
      </x:c>
    </x:row>
    <x:row r="460">
      <x:c r="A460" s="50" t="str">
        <x:v>EVT000457</x:v>
      </x:c>
      <x:c r="B460" s="50" t="str">
        <x:v>SYN0222</x:v>
      </x:c>
      <x:c r="C460" s="50" t="str">
        <x:v>day30_checkin_completed</x:v>
      </x:c>
      <x:c r="D460" s="51" t="n">
        <x:v>46207</x:v>
      </x:c>
    </x:row>
    <x:row r="461">
      <x:c r="A461" s="50" t="str">
        <x:v>EVT000458</x:v>
      </x:c>
      <x:c r="B461" s="50" t="str">
        <x:v>SYN0222</x:v>
      </x:c>
      <x:c r="C461" s="50" t="str">
        <x:v>day60_activity_observed</x:v>
      </x:c>
      <x:c r="D461" s="51" t="n">
        <x:v>46240</x:v>
      </x:c>
    </x:row>
    <x:row r="462">
      <x:c r="A462" s="50" t="str">
        <x:v>EVT000459</x:v>
      </x:c>
      <x:c r="B462" s="50" t="str">
        <x:v>SYN0223</x:v>
      </x:c>
      <x:c r="C462" s="50" t="str">
        <x:v>coach_contact_completed</x:v>
      </x:c>
      <x:c r="D462" s="51" t="n">
        <x:v>46169</x:v>
      </x:c>
    </x:row>
    <x:row r="463">
      <x:c r="A463" s="50" t="str">
        <x:v>EVT000460</x:v>
      </x:c>
      <x:c r="B463" s="50" t="str">
        <x:v>SYN0223</x:v>
      </x:c>
      <x:c r="C463" s="50" t="str">
        <x:v>day30_checkin_completed</x:v>
      </x:c>
      <x:c r="D463" s="51" t="n">
        <x:v>46195</x:v>
      </x:c>
    </x:row>
    <x:row r="464">
      <x:c r="A464" s="50" t="str">
        <x:v>EVT000461</x:v>
      </x:c>
      <x:c r="B464" s="50" t="str">
        <x:v>SYN0224</x:v>
      </x:c>
      <x:c r="C464" s="50" t="str">
        <x:v>coach_contact_completed</x:v>
      </x:c>
      <x:c r="D464" s="51" t="n">
        <x:v>46078</x:v>
      </x:c>
    </x:row>
    <x:row r="465">
      <x:c r="A465" s="50" t="str">
        <x:v>EVT000462</x:v>
      </x:c>
      <x:c r="B465" s="50" t="str">
        <x:v>SYN0224</x:v>
      </x:c>
      <x:c r="C465" s="50" t="str">
        <x:v>day30_checkin_completed</x:v>
      </x:c>
      <x:c r="D465" s="51" t="n">
        <x:v>46113</x:v>
      </x:c>
    </x:row>
    <x:row r="466">
      <x:c r="A466" s="50" t="str">
        <x:v>EVT000463</x:v>
      </x:c>
      <x:c r="B466" s="50" t="str">
        <x:v>SYN0225</x:v>
      </x:c>
      <x:c r="C466" s="50" t="str">
        <x:v>coach_contact_completed</x:v>
      </x:c>
      <x:c r="D466" s="51" t="n">
        <x:v>46205</x:v>
      </x:c>
    </x:row>
    <x:row r="467">
      <x:c r="A467" s="50" t="str">
        <x:v>EVT000464</x:v>
      </x:c>
      <x:c r="B467" s="50" t="str">
        <x:v>SYN0225</x:v>
      </x:c>
      <x:c r="C467" s="50" t="str">
        <x:v>day30_checkin_completed</x:v>
      </x:c>
      <x:c r="D467" s="51" t="n">
        <x:v>46232</x:v>
      </x:c>
    </x:row>
    <x:row r="468">
      <x:c r="A468" s="50" t="str">
        <x:v>EVT000465</x:v>
      </x:c>
      <x:c r="B468" s="50" t="str">
        <x:v>SYN0225</x:v>
      </x:c>
      <x:c r="C468" s="50" t="str">
        <x:v>day60_activity_observed</x:v>
      </x:c>
      <x:c r="D468" s="51" t="n">
        <x:v>46272</x:v>
      </x:c>
    </x:row>
    <x:row r="469">
      <x:c r="A469" s="50" t="str">
        <x:v>EVT000466</x:v>
      </x:c>
      <x:c r="B469" s="50" t="str">
        <x:v>SYN0226</x:v>
      </x:c>
      <x:c r="C469" s="50" t="str">
        <x:v>coach_contact_completed</x:v>
      </x:c>
      <x:c r="D469" s="51" t="n">
        <x:v>46186</x:v>
      </x:c>
    </x:row>
    <x:row r="470">
      <x:c r="A470" s="50" t="str">
        <x:v>EVT000467</x:v>
      </x:c>
      <x:c r="B470" s="50" t="str">
        <x:v>SYN0226</x:v>
      </x:c>
      <x:c r="C470" s="50" t="str">
        <x:v>day60_activity_observed</x:v>
      </x:c>
      <x:c r="D470" s="51" t="n">
        <x:v>46242</x:v>
      </x:c>
    </x:row>
    <x:row r="471">
      <x:c r="A471" s="50" t="str">
        <x:v>EVT000468</x:v>
      </x:c>
      <x:c r="B471" s="50" t="str">
        <x:v>SYN0227</x:v>
      </x:c>
      <x:c r="C471" s="50" t="str">
        <x:v>coach_contact_completed</x:v>
      </x:c>
      <x:c r="D471" s="51" t="n">
        <x:v>46130</x:v>
      </x:c>
    </x:row>
    <x:row r="472">
      <x:c r="A472" s="50" t="str">
        <x:v>EVT000469</x:v>
      </x:c>
      <x:c r="B472" s="50" t="str">
        <x:v>SYN0227</x:v>
      </x:c>
      <x:c r="C472" s="50" t="str">
        <x:v>day30_checkin_completed</x:v>
      </x:c>
      <x:c r="D472" s="51" t="n">
        <x:v>46151</x:v>
      </x:c>
    </x:row>
    <x:row r="473">
      <x:c r="A473" s="50" t="str">
        <x:v>EVT000470</x:v>
      </x:c>
      <x:c r="B473" s="50" t="str">
        <x:v>SYN0227</x:v>
      </x:c>
      <x:c r="C473" s="50" t="str">
        <x:v>day60_activity_observed</x:v>
      </x:c>
      <x:c r="D473" s="51" t="n">
        <x:v>46184</x:v>
      </x:c>
    </x:row>
    <x:row r="474">
      <x:c r="A474" s="50" t="str">
        <x:v>EVT000471</x:v>
      </x:c>
      <x:c r="B474" s="50" t="str">
        <x:v>SYN0228</x:v>
      </x:c>
      <x:c r="C474" s="50" t="str">
        <x:v>coach_contact_completed</x:v>
      </x:c>
      <x:c r="D474" s="51" t="n">
        <x:v>46085</x:v>
      </x:c>
    </x:row>
    <x:row r="475">
      <x:c r="A475" s="50" t="str">
        <x:v>EVT000472</x:v>
      </x:c>
      <x:c r="B475" s="50" t="str">
        <x:v>SYN0228</x:v>
      </x:c>
      <x:c r="C475" s="50" t="str">
        <x:v>day30_checkin_completed</x:v>
      </x:c>
      <x:c r="D475" s="51" t="n">
        <x:v>46102</x:v>
      </x:c>
    </x:row>
    <x:row r="476">
      <x:c r="A476" s="50" t="str">
        <x:v>EVT000473</x:v>
      </x:c>
      <x:c r="B476" s="50" t="str">
        <x:v>SYN0228</x:v>
      </x:c>
      <x:c r="C476" s="50" t="str">
        <x:v>day60_activity_observed</x:v>
      </x:c>
      <x:c r="D476" s="51" t="n">
        <x:v>46147</x:v>
      </x:c>
    </x:row>
    <x:row r="477">
      <x:c r="A477" s="50" t="str">
        <x:v>EVT000474</x:v>
      </x:c>
      <x:c r="B477" s="50" t="str">
        <x:v>SYN0229</x:v>
      </x:c>
      <x:c r="C477" s="50" t="str">
        <x:v>coach_contact_completed</x:v>
      </x:c>
      <x:c r="D477" s="51" t="n">
        <x:v>46155</x:v>
      </x:c>
    </x:row>
    <x:row r="478">
      <x:c r="A478" s="50" t="str">
        <x:v>EVT000475</x:v>
      </x:c>
      <x:c r="B478" s="50" t="str">
        <x:v>SYN0229</x:v>
      </x:c>
      <x:c r="C478" s="50" t="str">
        <x:v>day30_checkin_completed</x:v>
      </x:c>
      <x:c r="D478" s="51" t="n">
        <x:v>46177</x:v>
      </x:c>
    </x:row>
    <x:row r="479">
      <x:c r="A479" s="50" t="str">
        <x:v>EVT000476</x:v>
      </x:c>
      <x:c r="B479" s="50" t="str">
        <x:v>SYN0229</x:v>
      </x:c>
      <x:c r="C479" s="50" t="str">
        <x:v>day60_activity_observed</x:v>
      </x:c>
      <x:c r="D479" s="51" t="n">
        <x:v>46211</x:v>
      </x:c>
    </x:row>
    <x:row r="480">
      <x:c r="A480" s="50" t="str">
        <x:v>EVT000477</x:v>
      </x:c>
      <x:c r="B480" s="50" t="str">
        <x:v>SYN0230</x:v>
      </x:c>
      <x:c r="C480" s="50" t="str">
        <x:v>day30_checkin_completed</x:v>
      </x:c>
      <x:c r="D480" s="51" t="n">
        <x:v>46137</x:v>
      </x:c>
    </x:row>
    <x:row r="481">
      <x:c r="A481" s="50" t="str">
        <x:v>EVT000478</x:v>
      </x:c>
      <x:c r="B481" s="50" t="str">
        <x:v>SYN0231</x:v>
      </x:c>
      <x:c r="C481" s="50" t="str">
        <x:v>coach_contact_completed</x:v>
      </x:c>
      <x:c r="D481" s="51" t="n">
        <x:v>46226</x:v>
      </x:c>
    </x:row>
    <x:row r="482">
      <x:c r="A482" s="50" t="str">
        <x:v>EVT000479</x:v>
      </x:c>
      <x:c r="B482" s="50" t="str">
        <x:v>SYN0231</x:v>
      </x:c>
      <x:c r="C482" s="50" t="str">
        <x:v>day30_checkin_completed</x:v>
      </x:c>
      <x:c r="D482" s="51" t="n">
        <x:v>46256</x:v>
      </x:c>
    </x:row>
    <x:row r="483">
      <x:c r="A483" s="50" t="str">
        <x:v>EVT000480</x:v>
      </x:c>
      <x:c r="B483" s="50" t="str">
        <x:v>SYN0231</x:v>
      </x:c>
      <x:c r="C483" s="50" t="str">
        <x:v>day60_activity_observed</x:v>
      </x:c>
      <x:c r="D483" s="51" t="n">
        <x:v>46292</x:v>
      </x:c>
    </x:row>
    <x:row r="484">
      <x:c r="A484" s="50" t="str">
        <x:v>EVT000481</x:v>
      </x:c>
      <x:c r="B484" s="50" t="str">
        <x:v>SYN0232</x:v>
      </x:c>
      <x:c r="C484" s="50" t="str">
        <x:v>coach_contact_completed</x:v>
      </x:c>
      <x:c r="D484" s="51" t="n">
        <x:v>46047</x:v>
      </x:c>
    </x:row>
    <x:row r="485">
      <x:c r="A485" s="50" t="str">
        <x:v>EVT000482</x:v>
      </x:c>
      <x:c r="B485" s="50" t="str">
        <x:v>SYN0232</x:v>
      </x:c>
      <x:c r="C485" s="50" t="str">
        <x:v>day30_checkin_completed</x:v>
      </x:c>
      <x:c r="D485" s="51" t="n">
        <x:v>46078</x:v>
      </x:c>
    </x:row>
    <x:row r="486">
      <x:c r="A486" s="50" t="str">
        <x:v>EVT000483</x:v>
      </x:c>
      <x:c r="B486" s="50" t="str">
        <x:v>SYN0233</x:v>
      </x:c>
      <x:c r="C486" s="50" t="str">
        <x:v>coach_contact_completed</x:v>
      </x:c>
      <x:c r="D486" s="51" t="n">
        <x:v>46161</x:v>
      </x:c>
    </x:row>
    <x:row r="487">
      <x:c r="A487" s="50" t="str">
        <x:v>EVT000484</x:v>
      </x:c>
      <x:c r="B487" s="50" t="str">
        <x:v>SYN0233</x:v>
      </x:c>
      <x:c r="C487" s="50" t="str">
        <x:v>day30_checkin_completed</x:v>
      </x:c>
      <x:c r="D487" s="51" t="n">
        <x:v>46189</x:v>
      </x:c>
    </x:row>
    <x:row r="488">
      <x:c r="A488" s="50" t="str">
        <x:v>EVT000485</x:v>
      </x:c>
      <x:c r="B488" s="50" t="str">
        <x:v>SYN0234</x:v>
      </x:c>
      <x:c r="C488" s="50" t="str">
        <x:v>coach_contact_completed</x:v>
      </x:c>
      <x:c r="D488" s="51" t="n">
        <x:v>46103</x:v>
      </x:c>
    </x:row>
    <x:row r="489">
      <x:c r="A489" s="50" t="str">
        <x:v>EVT000486</x:v>
      </x:c>
      <x:c r="B489" s="50" t="str">
        <x:v>SYN0234</x:v>
      </x:c>
      <x:c r="C489" s="50" t="str">
        <x:v>day30_checkin_completed</x:v>
      </x:c>
      <x:c r="D489" s="51" t="n">
        <x:v>46126</x:v>
      </x:c>
    </x:row>
    <x:row r="490">
      <x:c r="A490" s="50" t="str">
        <x:v>EVT000487</x:v>
      </x:c>
      <x:c r="B490" s="50" t="str">
        <x:v>SYN0234</x:v>
      </x:c>
      <x:c r="C490" s="50" t="str">
        <x:v>day60_activity_observed</x:v>
      </x:c>
      <x:c r="D490" s="51" t="n">
        <x:v>46165</x:v>
      </x:c>
    </x:row>
    <x:row r="491">
      <x:c r="A491" s="50" t="str">
        <x:v>EVT000488</x:v>
      </x:c>
      <x:c r="B491" s="50" t="str">
        <x:v>SYN0235</x:v>
      </x:c>
      <x:c r="C491" s="50" t="str">
        <x:v>coach_contact_completed</x:v>
      </x:c>
      <x:c r="D491" s="51" t="n">
        <x:v>46124</x:v>
      </x:c>
    </x:row>
    <x:row r="492">
      <x:c r="A492" s="50" t="str">
        <x:v>EVT000489</x:v>
      </x:c>
      <x:c r="B492" s="50" t="str">
        <x:v>SYN0235</x:v>
      </x:c>
      <x:c r="C492" s="50" t="str">
        <x:v>day30_checkin_completed</x:v>
      </x:c>
      <x:c r="D492" s="51" t="n">
        <x:v>46150</x:v>
      </x:c>
    </x:row>
    <x:row r="493">
      <x:c r="A493" s="50" t="str">
        <x:v>EVT000490</x:v>
      </x:c>
      <x:c r="B493" s="50" t="str">
        <x:v>SYN0235</x:v>
      </x:c>
      <x:c r="C493" s="50" t="str">
        <x:v>day60_activity_observed</x:v>
      </x:c>
      <x:c r="D493" s="51" t="n">
        <x:v>46185</x:v>
      </x:c>
    </x:row>
    <x:row r="494">
      <x:c r="A494" s="50" t="str">
        <x:v>EVT000491</x:v>
      </x:c>
      <x:c r="B494" s="50" t="str">
        <x:v>SYN0236</x:v>
      </x:c>
      <x:c r="C494" s="50" t="str">
        <x:v>coach_contact_completed</x:v>
      </x:c>
      <x:c r="D494" s="51" t="n">
        <x:v>46174</x:v>
      </x:c>
    </x:row>
    <x:row r="495">
      <x:c r="A495" s="50" t="str">
        <x:v>EVT000492</x:v>
      </x:c>
      <x:c r="B495" s="50" t="str">
        <x:v>SYN0236</x:v>
      </x:c>
      <x:c r="C495" s="50" t="str">
        <x:v>day30_checkin_completed</x:v>
      </x:c>
      <x:c r="D495" s="51" t="n">
        <x:v>46207</x:v>
      </x:c>
    </x:row>
    <x:row r="496">
      <x:c r="A496" s="50" t="str">
        <x:v>EVT000493</x:v>
      </x:c>
      <x:c r="B496" s="50" t="str">
        <x:v>SYN0237</x:v>
      </x:c>
      <x:c r="C496" s="50" t="str">
        <x:v>coach_contact_completed</x:v>
      </x:c>
      <x:c r="D496" s="51" t="n">
        <x:v>46169</x:v>
      </x:c>
    </x:row>
    <x:row r="497">
      <x:c r="A497" s="50" t="str">
        <x:v>EVT000494</x:v>
      </x:c>
      <x:c r="B497" s="50" t="str">
        <x:v>SYN0237</x:v>
      </x:c>
      <x:c r="C497" s="50" t="str">
        <x:v>day30_checkin_completed</x:v>
      </x:c>
      <x:c r="D497" s="51" t="n">
        <x:v>46203</x:v>
      </x:c>
    </x:row>
    <x:row r="498">
      <x:c r="A498" s="50" t="str">
        <x:v>EVT000495</x:v>
      </x:c>
      <x:c r="B498" s="50" t="str">
        <x:v>SYN0238</x:v>
      </x:c>
      <x:c r="C498" s="50" t="str">
        <x:v>day30_checkin_completed</x:v>
      </x:c>
      <x:c r="D498" s="51" t="n">
        <x:v>46254</x:v>
      </x:c>
    </x:row>
    <x:row r="499">
      <x:c r="A499" s="50" t="str">
        <x:v>EVT000496</x:v>
      </x:c>
      <x:c r="B499" s="50" t="str">
        <x:v>SYN0239</x:v>
      </x:c>
      <x:c r="C499" s="50" t="str">
        <x:v>coach_contact_completed</x:v>
      </x:c>
      <x:c r="D499" s="51" t="n">
        <x:v>46243</x:v>
      </x:c>
    </x:row>
    <x:row r="500">
      <x:c r="A500" s="50" t="str">
        <x:v>EVT000497</x:v>
      </x:c>
      <x:c r="B500" s="50" t="str">
        <x:v>SYN0239</x:v>
      </x:c>
      <x:c r="C500" s="50" t="str">
        <x:v>day30_checkin_completed</x:v>
      </x:c>
      <x:c r="D500" s="51" t="n">
        <x:v>46270</x:v>
      </x:c>
    </x:row>
    <x:row r="501">
      <x:c r="A501" s="50" t="str">
        <x:v>EVT000498</x:v>
      </x:c>
      <x:c r="B501" s="50" t="str">
        <x:v>SYN0240</x:v>
      </x:c>
      <x:c r="C501" s="50" t="str">
        <x:v>coach_contact_completed</x:v>
      </x:c>
      <x:c r="D501" s="51" t="n">
        <x:v>46256</x:v>
      </x:c>
    </x:row>
    <x:row r="502">
      <x:c r="A502" s="50" t="str">
        <x:v>EVT000499</x:v>
      </x:c>
      <x:c r="B502" s="50" t="str">
        <x:v>SYN0240</x:v>
      </x:c>
      <x:c r="C502" s="50" t="str">
        <x:v>day30_checkin_completed</x:v>
      </x:c>
      <x:c r="D502" s="51" t="n">
        <x:v>46287</x:v>
      </x:c>
    </x:row>
    <x:row r="503">
      <x:c r="A503" s="50" t="str">
        <x:v>EVT000500</x:v>
      </x:c>
      <x:c r="B503" s="50" t="str">
        <x:v>SYN0241</x:v>
      </x:c>
      <x:c r="C503" s="50" t="str">
        <x:v>coach_contact_completed</x:v>
      </x:c>
      <x:c r="D503" s="51" t="n">
        <x:v>46052</x:v>
      </x:c>
    </x:row>
    <x:row r="504">
      <x:c r="A504" s="50" t="str">
        <x:v>EVT000501</x:v>
      </x:c>
      <x:c r="B504" s="50" t="str">
        <x:v>SYN0241</x:v>
      </x:c>
      <x:c r="C504" s="50" t="str">
        <x:v>day60_activity_observed</x:v>
      </x:c>
      <x:c r="D504" s="51" t="n">
        <x:v>46119</x:v>
      </x:c>
    </x:row>
    <x:row r="505">
      <x:c r="A505" s="50" t="str">
        <x:v>EVT000502</x:v>
      </x:c>
      <x:c r="B505" s="50" t="str">
        <x:v>SYN0242</x:v>
      </x:c>
      <x:c r="C505" s="50" t="str">
        <x:v>coach_contact_completed</x:v>
      </x:c>
      <x:c r="D505" s="51" t="n">
        <x:v>46201</x:v>
      </x:c>
    </x:row>
    <x:row r="506">
      <x:c r="A506" s="50" t="str">
        <x:v>EVT000503</x:v>
      </x:c>
      <x:c r="B506" s="50" t="str">
        <x:v>SYN0242</x:v>
      </x:c>
      <x:c r="C506" s="50" t="str">
        <x:v>day60_activity_observed</x:v>
      </x:c>
      <x:c r="D506" s="51" t="n">
        <x:v>46273</x:v>
      </x:c>
    </x:row>
    <x:row r="507">
      <x:c r="A507" s="50" t="str">
        <x:v>EVT000504</x:v>
      </x:c>
      <x:c r="B507" s="50" t="str">
        <x:v>SYN0243</x:v>
      </x:c>
      <x:c r="C507" s="50" t="str">
        <x:v>coach_contact_completed</x:v>
      </x:c>
      <x:c r="D507" s="51" t="n">
        <x:v>46076</x:v>
      </x:c>
    </x:row>
    <x:row r="508">
      <x:c r="A508" s="50" t="str">
        <x:v>EVT000505</x:v>
      </x:c>
      <x:c r="B508" s="50" t="str">
        <x:v>SYN0243</x:v>
      </x:c>
      <x:c r="C508" s="50" t="str">
        <x:v>day30_checkin_completed</x:v>
      </x:c>
      <x:c r="D508" s="51" t="n">
        <x:v>46106</x:v>
      </x:c>
    </x:row>
    <x:row r="509">
      <x:c r="A509" s="50" t="str">
        <x:v>EVT000506</x:v>
      </x:c>
      <x:c r="B509" s="50" t="str">
        <x:v>SYN0243</x:v>
      </x:c>
      <x:c r="C509" s="50" t="str">
        <x:v>day60_activity_observed</x:v>
      </x:c>
      <x:c r="D509" s="51" t="n">
        <x:v>46135</x:v>
      </x:c>
    </x:row>
    <x:row r="510">
      <x:c r="A510" s="50" t="str">
        <x:v>EVT000507</x:v>
      </x:c>
      <x:c r="B510" s="50" t="str">
        <x:v>SYN0244</x:v>
      </x:c>
      <x:c r="C510" s="50" t="str">
        <x:v>coach_contact_completed</x:v>
      </x:c>
      <x:c r="D510" s="51" t="n">
        <x:v>46176</x:v>
      </x:c>
    </x:row>
    <x:row r="511">
      <x:c r="A511" s="50" t="str">
        <x:v>EVT000508</x:v>
      </x:c>
      <x:c r="B511" s="50" t="str">
        <x:v>SYN0244</x:v>
      </x:c>
      <x:c r="C511" s="50" t="str">
        <x:v>day30_checkin_completed</x:v>
      </x:c>
      <x:c r="D511" s="51" t="n">
        <x:v>46213</x:v>
      </x:c>
    </x:row>
    <x:row r="512">
      <x:c r="A512" s="50" t="str">
        <x:v>EVT000509</x:v>
      </x:c>
      <x:c r="B512" s="50" t="str">
        <x:v>SYN0244</x:v>
      </x:c>
      <x:c r="C512" s="50" t="str">
        <x:v>day60_activity_observed</x:v>
      </x:c>
      <x:c r="D512" s="51" t="n">
        <x:v>46245</x:v>
      </x:c>
    </x:row>
    <x:row r="513">
      <x:c r="A513" s="50" t="str">
        <x:v>EVT000510</x:v>
      </x:c>
      <x:c r="B513" s="50" t="str">
        <x:v>SYN0245</x:v>
      </x:c>
      <x:c r="C513" s="50" t="str">
        <x:v>coach_contact_completed</x:v>
      </x:c>
      <x:c r="D513" s="51" t="n">
        <x:v>46167</x:v>
      </x:c>
    </x:row>
    <x:row r="514">
      <x:c r="A514" s="50" t="str">
        <x:v>EVT000511</x:v>
      </x:c>
      <x:c r="B514" s="50" t="str">
        <x:v>SYN0245</x:v>
      </x:c>
      <x:c r="C514" s="50" t="str">
        <x:v>day30_checkin_completed</x:v>
      </x:c>
      <x:c r="D514" s="51" t="n">
        <x:v>46199</x:v>
      </x:c>
    </x:row>
    <x:row r="515">
      <x:c r="A515" s="50" t="str">
        <x:v>EVT000512</x:v>
      </x:c>
      <x:c r="B515" s="50" t="str">
        <x:v>SYN0245</x:v>
      </x:c>
      <x:c r="C515" s="50" t="str">
        <x:v>day60_activity_observed</x:v>
      </x:c>
      <x:c r="D515" s="51" t="n">
        <x:v>46239</x:v>
      </x:c>
    </x:row>
    <x:row r="516">
      <x:c r="A516" s="50" t="str">
        <x:v>EVT000513</x:v>
      </x:c>
      <x:c r="B516" s="50" t="str">
        <x:v>SYN0246</x:v>
      </x:c>
      <x:c r="C516" s="50" t="str">
        <x:v>coach_contact_completed</x:v>
      </x:c>
      <x:c r="D516" s="51" t="n">
        <x:v>46042</x:v>
      </x:c>
    </x:row>
    <x:row r="517">
      <x:c r="A517" s="50" t="str">
        <x:v>EVT000514</x:v>
      </x:c>
      <x:c r="B517" s="50" t="str">
        <x:v>SYN0246</x:v>
      </x:c>
      <x:c r="C517" s="50" t="str">
        <x:v>day30_checkin_completed</x:v>
      </x:c>
      <x:c r="D517" s="51" t="n">
        <x:v>46063</x:v>
      </x:c>
    </x:row>
    <x:row r="518">
      <x:c r="A518" s="50" t="str">
        <x:v>EVT000515</x:v>
      </x:c>
      <x:c r="B518" s="50" t="str">
        <x:v>SYN0246</x:v>
      </x:c>
      <x:c r="C518" s="50" t="str">
        <x:v>day60_activity_observed</x:v>
      </x:c>
      <x:c r="D518" s="51" t="n">
        <x:v>46101</x:v>
      </x:c>
    </x:row>
    <x:row r="519">
      <x:c r="A519" s="50" t="str">
        <x:v>EVT000516</x:v>
      </x:c>
      <x:c r="B519" s="50" t="str">
        <x:v>SYN0247</x:v>
      </x:c>
      <x:c r="C519" s="50" t="str">
        <x:v>coach_contact_completed</x:v>
      </x:c>
      <x:c r="D519" s="51" t="n">
        <x:v>46075</x:v>
      </x:c>
    </x:row>
    <x:row r="520">
      <x:c r="A520" s="50" t="str">
        <x:v>EVT000517</x:v>
      </x:c>
      <x:c r="B520" s="50" t="str">
        <x:v>SYN0247</x:v>
      </x:c>
      <x:c r="C520" s="50" t="str">
        <x:v>day60_activity_observed</x:v>
      </x:c>
      <x:c r="D520" s="51" t="n">
        <x:v>46129</x:v>
      </x:c>
    </x:row>
    <x:row r="521">
      <x:c r="A521" s="50" t="str">
        <x:v>EVT000518</x:v>
      </x:c>
      <x:c r="B521" s="50" t="str">
        <x:v>SYN0248</x:v>
      </x:c>
      <x:c r="C521" s="50" t="str">
        <x:v>coach_contact_completed</x:v>
      </x:c>
      <x:c r="D521" s="51" t="n">
        <x:v>46201</x:v>
      </x:c>
    </x:row>
    <x:row r="522">
      <x:c r="A522" s="50" t="str">
        <x:v>EVT000519</x:v>
      </x:c>
      <x:c r="B522" s="50" t="str">
        <x:v>SYN0248</x:v>
      </x:c>
      <x:c r="C522" s="50" t="str">
        <x:v>day30_checkin_completed</x:v>
      </x:c>
      <x:c r="D522" s="51" t="n">
        <x:v>46226</x:v>
      </x:c>
    </x:row>
    <x:row r="523">
      <x:c r="A523" s="50" t="str">
        <x:v>EVT000520</x:v>
      </x:c>
      <x:c r="B523" s="50" t="str">
        <x:v>SYN0249</x:v>
      </x:c>
      <x:c r="C523" s="50" t="str">
        <x:v>coach_contact_completed</x:v>
      </x:c>
      <x:c r="D523" s="51" t="n">
        <x:v>46156</x:v>
      </x:c>
    </x:row>
    <x:row r="524">
      <x:c r="A524" s="50" t="str">
        <x:v>EVT000521</x:v>
      </x:c>
      <x:c r="B524" s="50" t="str">
        <x:v>SYN0249</x:v>
      </x:c>
      <x:c r="C524" s="50" t="str">
        <x:v>day30_checkin_completed</x:v>
      </x:c>
      <x:c r="D524" s="51" t="n">
        <x:v>46184</x:v>
      </x:c>
    </x:row>
    <x:row r="525">
      <x:c r="A525" s="50" t="str">
        <x:v>EVT000522</x:v>
      </x:c>
      <x:c r="B525" s="50" t="str">
        <x:v>SYN0250</x:v>
      </x:c>
      <x:c r="C525" s="50" t="str">
        <x:v>coach_contact_completed</x:v>
      </x:c>
      <x:c r="D525" s="51" t="n">
        <x:v>46117</x:v>
      </x:c>
    </x:row>
    <x:row r="526">
      <x:c r="A526" s="50" t="str">
        <x:v>EVT000523</x:v>
      </x:c>
      <x:c r="B526" s="50" t="str">
        <x:v>SYN0251</x:v>
      </x:c>
      <x:c r="C526" s="50" t="str">
        <x:v>day30_checkin_completed</x:v>
      </x:c>
      <x:c r="D526" s="51" t="n">
        <x:v>46267</x:v>
      </x:c>
    </x:row>
    <x:row r="527">
      <x:c r="A527" s="50" t="str">
        <x:v>EVT000524</x:v>
      </x:c>
      <x:c r="B527" s="50" t="str">
        <x:v>SYN0252</x:v>
      </x:c>
      <x:c r="C527" s="50" t="str">
        <x:v>coach_contact_completed</x:v>
      </x:c>
      <x:c r="D527" s="51" t="n">
        <x:v>46216</x:v>
      </x:c>
    </x:row>
    <x:row r="528">
      <x:c r="A528" s="50" t="str">
        <x:v>EVT000525</x:v>
      </x:c>
      <x:c r="B528" s="50" t="str">
        <x:v>SYN0252</x:v>
      </x:c>
      <x:c r="C528" s="50" t="str">
        <x:v>day60_activity_observed</x:v>
      </x:c>
      <x:c r="D528" s="51" t="n">
        <x:v>46274</x:v>
      </x:c>
    </x:row>
    <x:row r="529">
      <x:c r="A529" s="50" t="str">
        <x:v>EVT000526</x:v>
      </x:c>
      <x:c r="B529" s="50" t="str">
        <x:v>SYN0253</x:v>
      </x:c>
      <x:c r="C529" s="50" t="str">
        <x:v>coach_contact_completed</x:v>
      </x:c>
      <x:c r="D529" s="51" t="n">
        <x:v>46119</x:v>
      </x:c>
    </x:row>
    <x:row r="530">
      <x:c r="A530" s="50" t="str">
        <x:v>EVT000527</x:v>
      </x:c>
      <x:c r="B530" s="50" t="str">
        <x:v>SYN0254</x:v>
      </x:c>
      <x:c r="C530" s="50" t="str">
        <x:v>day30_checkin_completed</x:v>
      </x:c>
      <x:c r="D530" s="51" t="n">
        <x:v>46254</x:v>
      </x:c>
    </x:row>
    <x:row r="531">
      <x:c r="A531" s="50" t="str">
        <x:v>EVT000528</x:v>
      </x:c>
      <x:c r="B531" s="50" t="str">
        <x:v>SYN0254</x:v>
      </x:c>
      <x:c r="C531" s="50" t="str">
        <x:v>day60_activity_observed</x:v>
      </x:c>
      <x:c r="D531" s="51" t="n">
        <x:v>46291</x:v>
      </x:c>
    </x:row>
    <x:row r="532">
      <x:c r="A532" s="50" t="str">
        <x:v>EVT000529</x:v>
      </x:c>
      <x:c r="B532" s="50" t="str">
        <x:v>SYN0255</x:v>
      </x:c>
      <x:c r="C532" s="50" t="str">
        <x:v>coach_contact_completed</x:v>
      </x:c>
      <x:c r="D532" s="51" t="n">
        <x:v>46223</x:v>
      </x:c>
    </x:row>
    <x:row r="533">
      <x:c r="A533" s="50" t="str">
        <x:v>EVT000530</x:v>
      </x:c>
      <x:c r="B533" s="50" t="str">
        <x:v>SYN0255</x:v>
      </x:c>
      <x:c r="C533" s="50" t="str">
        <x:v>day30_checkin_completed</x:v>
      </x:c>
      <x:c r="D533" s="51" t="n">
        <x:v>46250</x:v>
      </x:c>
    </x:row>
    <x:row r="534">
      <x:c r="A534" s="50" t="str">
        <x:v>EVT000531</x:v>
      </x:c>
      <x:c r="B534" s="50" t="str">
        <x:v>SYN0256</x:v>
      </x:c>
      <x:c r="C534" s="50" t="str">
        <x:v>day60_activity_observed</x:v>
      </x:c>
      <x:c r="D534" s="51" t="n">
        <x:v>46233</x:v>
      </x:c>
    </x:row>
    <x:row r="535">
      <x:c r="A535" s="50" t="str">
        <x:v>EVT000532</x:v>
      </x:c>
      <x:c r="B535" s="50" t="str">
        <x:v>SYN0257</x:v>
      </x:c>
      <x:c r="C535" s="50" t="str">
        <x:v>coach_contact_completed</x:v>
      </x:c>
      <x:c r="D535" s="51" t="n">
        <x:v>46180</x:v>
      </x:c>
    </x:row>
    <x:row r="536">
      <x:c r="A536" s="50" t="str">
        <x:v>EVT000533</x:v>
      </x:c>
      <x:c r="B536" s="50" t="str">
        <x:v>SYN0257</x:v>
      </x:c>
      <x:c r="C536" s="50" t="str">
        <x:v>day30_checkin_completed</x:v>
      </x:c>
      <x:c r="D536" s="51" t="n">
        <x:v>46208</x:v>
      </x:c>
    </x:row>
    <x:row r="537">
      <x:c r="A537" s="50" t="str">
        <x:v>EVT000534</x:v>
      </x:c>
      <x:c r="B537" s="50" t="str">
        <x:v>SYN0257</x:v>
      </x:c>
      <x:c r="C537" s="50" t="str">
        <x:v>day60_activity_observed</x:v>
      </x:c>
      <x:c r="D537" s="51" t="n">
        <x:v>46248</x:v>
      </x:c>
    </x:row>
    <x:row r="538">
      <x:c r="A538" s="50" t="str">
        <x:v>EVT000535</x:v>
      </x:c>
      <x:c r="B538" s="50" t="str">
        <x:v>SYN0258</x:v>
      </x:c>
      <x:c r="C538" s="50" t="str">
        <x:v>coach_contact_completed</x:v>
      </x:c>
      <x:c r="D538" s="51" t="n">
        <x:v>46251</x:v>
      </x:c>
    </x:row>
    <x:row r="539">
      <x:c r="A539" s="50" t="str">
        <x:v>EVT000536</x:v>
      </x:c>
      <x:c r="B539" s="50" t="str">
        <x:v>SYN0258</x:v>
      </x:c>
      <x:c r="C539" s="50" t="str">
        <x:v>day30_checkin_completed</x:v>
      </x:c>
      <x:c r="D539" s="51" t="n">
        <x:v>46267</x:v>
      </x:c>
    </x:row>
    <x:row r="540">
      <x:c r="A540" s="50" t="str">
        <x:v>EVT000537</x:v>
      </x:c>
      <x:c r="B540" s="50" t="str">
        <x:v>SYN0259</x:v>
      </x:c>
      <x:c r="C540" s="50" t="str">
        <x:v>day30_checkin_completed</x:v>
      </x:c>
      <x:c r="D540" s="51" t="n">
        <x:v>46177</x:v>
      </x:c>
    </x:row>
    <x:row r="541">
      <x:c r="A541" s="50" t="str">
        <x:v>EVT000538</x:v>
      </x:c>
      <x:c r="B541" s="50" t="str">
        <x:v>SYN0260</x:v>
      </x:c>
      <x:c r="C541" s="50" t="str">
        <x:v>coach_contact_completed</x:v>
      </x:c>
      <x:c r="D541" s="51" t="n">
        <x:v>46224</x:v>
      </x:c>
    </x:row>
    <x:row r="542">
      <x:c r="A542" s="50" t="str">
        <x:v>EVT000539</x:v>
      </x:c>
      <x:c r="B542" s="50" t="str">
        <x:v>SYN0260</x:v>
      </x:c>
      <x:c r="C542" s="50" t="str">
        <x:v>day30_checkin_completed</x:v>
      </x:c>
      <x:c r="D542" s="51" t="n">
        <x:v>46253</x:v>
      </x:c>
    </x:row>
    <x:row r="543">
      <x:c r="A543" s="50" t="str">
        <x:v>EVT000540</x:v>
      </x:c>
      <x:c r="B543" s="50" t="str">
        <x:v>SYN0260</x:v>
      </x:c>
      <x:c r="C543" s="50" t="str">
        <x:v>day60_activity_observed</x:v>
      </x:c>
      <x:c r="D543" s="51" t="n">
        <x:v>46286</x:v>
      </x:c>
    </x:row>
    <x:row r="544">
      <x:c r="A544" s="50" t="str">
        <x:v>EVT000541</x:v>
      </x:c>
      <x:c r="B544" s="50" t="str">
        <x:v>SYN0261</x:v>
      </x:c>
      <x:c r="C544" s="50" t="str">
        <x:v>coach_contact_completed</x:v>
      </x:c>
      <x:c r="D544" s="51" t="n">
        <x:v>46107</x:v>
      </x:c>
    </x:row>
    <x:row r="545">
      <x:c r="A545" s="50" t="str">
        <x:v>EVT000542</x:v>
      </x:c>
      <x:c r="B545" s="50" t="str">
        <x:v>SYN0261</x:v>
      </x:c>
      <x:c r="C545" s="50" t="str">
        <x:v>day30_checkin_completed</x:v>
      </x:c>
      <x:c r="D545" s="51" t="n">
        <x:v>46132</x:v>
      </x:c>
    </x:row>
    <x:row r="546">
      <x:c r="A546" s="50" t="str">
        <x:v>EVT000543</x:v>
      </x:c>
      <x:c r="B546" s="50" t="str">
        <x:v>SYN0262</x:v>
      </x:c>
      <x:c r="C546" s="50" t="str">
        <x:v>coach_contact_completed</x:v>
      </x:c>
      <x:c r="D546" s="51" t="n">
        <x:v>46028</x:v>
      </x:c>
    </x:row>
    <x:row r="547">
      <x:c r="A547" s="50" t="str">
        <x:v>EVT000544</x:v>
      </x:c>
      <x:c r="B547" s="50" t="str">
        <x:v>SYN0262</x:v>
      </x:c>
      <x:c r="C547" s="50" t="str">
        <x:v>day30_checkin_completed</x:v>
      </x:c>
      <x:c r="D547" s="51" t="n">
        <x:v>46054</x:v>
      </x:c>
    </x:row>
    <x:row r="548">
      <x:c r="A548" s="50" t="str">
        <x:v>EVT000545</x:v>
      </x:c>
      <x:c r="B548" s="50" t="str">
        <x:v>SYN0262</x:v>
      </x:c>
      <x:c r="C548" s="50" t="str">
        <x:v>day60_activity_observed</x:v>
      </x:c>
      <x:c r="D548" s="51" t="n">
        <x:v>46092</x:v>
      </x:c>
    </x:row>
    <x:row r="549">
      <x:c r="A549" s="50" t="str">
        <x:v>EVT000546</x:v>
      </x:c>
      <x:c r="B549" s="50" t="str">
        <x:v>SYN0263</x:v>
      </x:c>
      <x:c r="C549" s="50" t="str">
        <x:v>coach_contact_completed</x:v>
      </x:c>
      <x:c r="D549" s="51" t="n">
        <x:v>46226</x:v>
      </x:c>
    </x:row>
    <x:row r="550">
      <x:c r="A550" s="50" t="str">
        <x:v>EVT000547</x:v>
      </x:c>
      <x:c r="B550" s="50" t="str">
        <x:v>SYN0263</x:v>
      </x:c>
      <x:c r="C550" s="50" t="str">
        <x:v>day60_activity_observed</x:v>
      </x:c>
      <x:c r="D550" s="51" t="n">
        <x:v>46287</x:v>
      </x:c>
    </x:row>
    <x:row r="551">
      <x:c r="A551" s="50" t="str">
        <x:v>EVT000548</x:v>
      </x:c>
      <x:c r="B551" s="50" t="str">
        <x:v>SYN0264</x:v>
      </x:c>
      <x:c r="C551" s="50" t="str">
        <x:v>coach_contact_completed</x:v>
      </x:c>
      <x:c r="D551" s="51" t="n">
        <x:v>46088</x:v>
      </x:c>
    </x:row>
    <x:row r="552">
      <x:c r="A552" s="50" t="str">
        <x:v>EVT000549</x:v>
      </x:c>
      <x:c r="B552" s="50" t="str">
        <x:v>SYN0264</x:v>
      </x:c>
      <x:c r="C552" s="50" t="str">
        <x:v>day30_checkin_completed</x:v>
      </x:c>
      <x:c r="D552" s="51" t="n">
        <x:v>46112</x:v>
      </x:c>
    </x:row>
    <x:row r="553">
      <x:c r="A553" s="50" t="str">
        <x:v>EVT000550</x:v>
      </x:c>
      <x:c r="B553" s="50" t="str">
        <x:v>SYN0264</x:v>
      </x:c>
      <x:c r="C553" s="50" t="str">
        <x:v>day60_activity_observed</x:v>
      </x:c>
      <x:c r="D553" s="51" t="n">
        <x:v>46150</x:v>
      </x:c>
    </x:row>
    <x:row r="554">
      <x:c r="A554" s="50" t="str">
        <x:v>EVT000551</x:v>
      </x:c>
      <x:c r="B554" s="50" t="str">
        <x:v>SYN0265</x:v>
      </x:c>
      <x:c r="C554" s="50" t="str">
        <x:v>coach_contact_completed</x:v>
      </x:c>
      <x:c r="D554" s="51" t="n">
        <x:v>46111</x:v>
      </x:c>
    </x:row>
    <x:row r="555">
      <x:c r="A555" s="50" t="str">
        <x:v>EVT000552</x:v>
      </x:c>
      <x:c r="B555" s="50" t="str">
        <x:v>SYN0265</x:v>
      </x:c>
      <x:c r="C555" s="50" t="str">
        <x:v>day30_checkin_completed</x:v>
      </x:c>
      <x:c r="D555" s="51" t="n">
        <x:v>46135</x:v>
      </x:c>
    </x:row>
    <x:row r="556">
      <x:c r="A556" s="50" t="str">
        <x:v>EVT000553</x:v>
      </x:c>
      <x:c r="B556" s="50" t="str">
        <x:v>SYN0265</x:v>
      </x:c>
      <x:c r="C556" s="50" t="str">
        <x:v>day60_activity_observed</x:v>
      </x:c>
      <x:c r="D556" s="51" t="n">
        <x:v>46172</x:v>
      </x:c>
    </x:row>
    <x:row r="557">
      <x:c r="A557" s="50" t="str">
        <x:v>EVT000554</x:v>
      </x:c>
      <x:c r="B557" s="50" t="str">
        <x:v>SYN0266</x:v>
      </x:c>
      <x:c r="C557" s="50" t="str">
        <x:v>coach_contact_completed</x:v>
      </x:c>
      <x:c r="D557" s="51" t="n">
        <x:v>46037</x:v>
      </x:c>
    </x:row>
    <x:row r="558">
      <x:c r="A558" s="50" t="str">
        <x:v>EVT000555</x:v>
      </x:c>
      <x:c r="B558" s="50" t="str">
        <x:v>SYN0266</x:v>
      </x:c>
      <x:c r="C558" s="50" t="str">
        <x:v>day30_checkin_completed</x:v>
      </x:c>
      <x:c r="D558" s="51" t="n">
        <x:v>46060</x:v>
      </x:c>
    </x:row>
    <x:row r="559">
      <x:c r="A559" s="50" t="str">
        <x:v>EVT000556</x:v>
      </x:c>
      <x:c r="B559" s="50" t="str">
        <x:v>SYN0266</x:v>
      </x:c>
      <x:c r="C559" s="50" t="str">
        <x:v>day60_activity_observed</x:v>
      </x:c>
      <x:c r="D559" s="51" t="n">
        <x:v>46100</x:v>
      </x:c>
    </x:row>
    <x:row r="560">
      <x:c r="A560" s="50" t="str">
        <x:v>EVT000557</x:v>
      </x:c>
      <x:c r="B560" s="50" t="str">
        <x:v>SYN0267</x:v>
      </x:c>
      <x:c r="C560" s="50" t="str">
        <x:v>coach_contact_completed</x:v>
      </x:c>
      <x:c r="D560" s="51" t="n">
        <x:v>46113</x:v>
      </x:c>
    </x:row>
    <x:row r="561">
      <x:c r="A561" s="50" t="str">
        <x:v>EVT000558</x:v>
      </x:c>
      <x:c r="B561" s="50" t="str">
        <x:v>SYN0267</x:v>
      </x:c>
      <x:c r="C561" s="50" t="str">
        <x:v>day30_checkin_completed</x:v>
      </x:c>
      <x:c r="D561" s="51" t="n">
        <x:v>46142</x:v>
      </x:c>
    </x:row>
    <x:row r="562">
      <x:c r="A562" s="50" t="str">
        <x:v>EVT000559</x:v>
      </x:c>
      <x:c r="B562" s="50" t="str">
        <x:v>SYN0267</x:v>
      </x:c>
      <x:c r="C562" s="50" t="str">
        <x:v>day60_activity_observed</x:v>
      </x:c>
      <x:c r="D562" s="51" t="n">
        <x:v>46174</x:v>
      </x:c>
    </x:row>
    <x:row r="563">
      <x:c r="A563" s="50" t="str">
        <x:v>EVT000560</x:v>
      </x:c>
      <x:c r="B563" s="50" t="str">
        <x:v>SYN0268</x:v>
      </x:c>
      <x:c r="C563" s="50" t="str">
        <x:v>coach_contact_completed</x:v>
      </x:c>
      <x:c r="D563" s="51" t="n">
        <x:v>46042</x:v>
      </x:c>
    </x:row>
    <x:row r="564">
      <x:c r="A564" s="50" t="str">
        <x:v>EVT000561</x:v>
      </x:c>
      <x:c r="B564" s="50" t="str">
        <x:v>SYN0268</x:v>
      </x:c>
      <x:c r="C564" s="50" t="str">
        <x:v>day60_activity_observed</x:v>
      </x:c>
      <x:c r="D564" s="51" t="n">
        <x:v>46105</x:v>
      </x:c>
    </x:row>
    <x:row r="565">
      <x:c r="A565" s="50" t="str">
        <x:v>EVT000562</x:v>
      </x:c>
      <x:c r="B565" s="50" t="str">
        <x:v>SYN0269</x:v>
      </x:c>
      <x:c r="C565" s="50" t="str">
        <x:v>day60_activity_observed</x:v>
      </x:c>
      <x:c r="D565" s="51" t="n">
        <x:v>46242</x:v>
      </x:c>
    </x:row>
    <x:row r="566">
      <x:c r="A566" s="50" t="str">
        <x:v>EVT000563</x:v>
      </x:c>
      <x:c r="B566" s="50" t="str">
        <x:v>SYN0270</x:v>
      </x:c>
      <x:c r="C566" s="50" t="str">
        <x:v>coach_contact_completed</x:v>
      </x:c>
      <x:c r="D566" s="51" t="n">
        <x:v>46068</x:v>
      </x:c>
    </x:row>
    <x:row r="567">
      <x:c r="A567" s="50" t="str">
        <x:v>EVT000564</x:v>
      </x:c>
      <x:c r="B567" s="50" t="str">
        <x:v>SYN0270</x:v>
      </x:c>
      <x:c r="C567" s="50" t="str">
        <x:v>day30_checkin_completed</x:v>
      </x:c>
      <x:c r="D567" s="51" t="n">
        <x:v>46102</x:v>
      </x:c>
    </x:row>
    <x:row r="568">
      <x:c r="A568" s="50" t="str">
        <x:v>EVT000565</x:v>
      </x:c>
      <x:c r="B568" s="50" t="str">
        <x:v>SYN0271</x:v>
      </x:c>
      <x:c r="C568" s="50" t="str">
        <x:v>coach_contact_completed</x:v>
      </x:c>
      <x:c r="D568" s="51" t="n">
        <x:v>46105</x:v>
      </x:c>
    </x:row>
    <x:row r="569">
      <x:c r="A569" s="50" t="str">
        <x:v>EVT000566</x:v>
      </x:c>
      <x:c r="B569" s="50" t="str">
        <x:v>SYN0271</x:v>
      </x:c>
      <x:c r="C569" s="50" t="str">
        <x:v>day30_checkin_completed</x:v>
      </x:c>
      <x:c r="D569" s="51" t="n">
        <x:v>46131</x:v>
      </x:c>
    </x:row>
    <x:row r="570">
      <x:c r="A570" s="50" t="str">
        <x:v>EVT000567</x:v>
      </x:c>
      <x:c r="B570" s="50" t="str">
        <x:v>SYN0272</x:v>
      </x:c>
      <x:c r="C570" s="50" t="str">
        <x:v>day60_activity_observed</x:v>
      </x:c>
      <x:c r="D570" s="51" t="n">
        <x:v>46159</x:v>
      </x:c>
    </x:row>
    <x:row r="571">
      <x:c r="A571" s="50" t="str">
        <x:v>EVT000568</x:v>
      </x:c>
      <x:c r="B571" s="50" t="str">
        <x:v>SYN0273</x:v>
      </x:c>
      <x:c r="C571" s="50" t="str">
        <x:v>day30_checkin_completed</x:v>
      </x:c>
      <x:c r="D571" s="51" t="n">
        <x:v>46115</x:v>
      </x:c>
    </x:row>
    <x:row r="572">
      <x:c r="A572" s="50" t="str">
        <x:v>EVT000569</x:v>
      </x:c>
      <x:c r="B572" s="50" t="str">
        <x:v>SYN0274</x:v>
      </x:c>
      <x:c r="C572" s="50" t="str">
        <x:v>coach_contact_completed</x:v>
      </x:c>
      <x:c r="D572" s="51" t="n">
        <x:v>46159</x:v>
      </x:c>
    </x:row>
    <x:row r="573">
      <x:c r="A573" s="50" t="str">
        <x:v>EVT000570</x:v>
      </x:c>
      <x:c r="B573" s="50" t="str">
        <x:v>SYN0274</x:v>
      </x:c>
      <x:c r="C573" s="50" t="str">
        <x:v>day30_checkin_completed</x:v>
      </x:c>
      <x:c r="D573" s="51" t="n">
        <x:v>46192</x:v>
      </x:c>
    </x:row>
    <x:row r="574">
      <x:c r="A574" s="50" t="str">
        <x:v>EVT000571</x:v>
      </x:c>
      <x:c r="B574" s="50" t="str">
        <x:v>SYN0274</x:v>
      </x:c>
      <x:c r="C574" s="50" t="str">
        <x:v>day60_activity_observed</x:v>
      </x:c>
      <x:c r="D574" s="51" t="n">
        <x:v>46221</x:v>
      </x:c>
    </x:row>
    <x:row r="575">
      <x:c r="A575" s="50" t="str">
        <x:v>EVT000572</x:v>
      </x:c>
      <x:c r="B575" s="50" t="str">
        <x:v>SYN0275</x:v>
      </x:c>
      <x:c r="C575" s="50" t="str">
        <x:v>coach_contact_completed</x:v>
      </x:c>
      <x:c r="D575" s="51" t="n">
        <x:v>46159</x:v>
      </x:c>
    </x:row>
    <x:row r="576">
      <x:c r="A576" s="50" t="str">
        <x:v>EVT000573</x:v>
      </x:c>
      <x:c r="B576" s="50" t="str">
        <x:v>SYN0275</x:v>
      </x:c>
      <x:c r="C576" s="50" t="str">
        <x:v>day30_checkin_completed</x:v>
      </x:c>
      <x:c r="D576" s="51" t="n">
        <x:v>46187</x:v>
      </x:c>
    </x:row>
    <x:row r="577">
      <x:c r="A577" s="50" t="str">
        <x:v>EVT000574</x:v>
      </x:c>
      <x:c r="B577" s="50" t="str">
        <x:v>SYN0276</x:v>
      </x:c>
      <x:c r="C577" s="50" t="str">
        <x:v>coach_contact_completed</x:v>
      </x:c>
      <x:c r="D577" s="51" t="n">
        <x:v>46081</x:v>
      </x:c>
    </x:row>
    <x:row r="578">
      <x:c r="A578" s="50" t="str">
        <x:v>EVT000575</x:v>
      </x:c>
      <x:c r="B578" s="50" t="str">
        <x:v>SYN0276</x:v>
      </x:c>
      <x:c r="C578" s="50" t="str">
        <x:v>day30_checkin_completed</x:v>
      </x:c>
      <x:c r="D578" s="51" t="n">
        <x:v>46112</x:v>
      </x:c>
    </x:row>
    <x:row r="579">
      <x:c r="A579" s="50" t="str">
        <x:v>EVT000576</x:v>
      </x:c>
      <x:c r="B579" s="50" t="str">
        <x:v>SYN0276</x:v>
      </x:c>
      <x:c r="C579" s="50" t="str">
        <x:v>day60_activity_observed</x:v>
      </x:c>
      <x:c r="D579" s="51" t="n">
        <x:v>46147</x:v>
      </x:c>
    </x:row>
    <x:row r="580">
      <x:c r="A580" s="50" t="str">
        <x:v>EVT000577</x:v>
      </x:c>
      <x:c r="B580" s="50" t="str">
        <x:v>SYN0277</x:v>
      </x:c>
      <x:c r="C580" s="50" t="str">
        <x:v>coach_contact_completed</x:v>
      </x:c>
      <x:c r="D580" s="51" t="n">
        <x:v>46091</x:v>
      </x:c>
    </x:row>
    <x:row r="581">
      <x:c r="A581" s="50" t="str">
        <x:v>EVT000578</x:v>
      </x:c>
      <x:c r="B581" s="50" t="str">
        <x:v>SYN0277</x:v>
      </x:c>
      <x:c r="C581" s="50" t="str">
        <x:v>day30_checkin_completed</x:v>
      </x:c>
      <x:c r="D581" s="51" t="n">
        <x:v>46110</x:v>
      </x:c>
    </x:row>
    <x:row r="582">
      <x:c r="A582" s="50" t="str">
        <x:v>EVT000579</x:v>
      </x:c>
      <x:c r="B582" s="50" t="str">
        <x:v>SYN0277</x:v>
      </x:c>
      <x:c r="C582" s="50" t="str">
        <x:v>day60_activity_observed</x:v>
      </x:c>
      <x:c r="D582" s="51" t="n">
        <x:v>46151</x:v>
      </x:c>
    </x:row>
    <x:row r="583">
      <x:c r="A583" s="50" t="str">
        <x:v>EVT000580</x:v>
      </x:c>
      <x:c r="B583" s="50" t="str">
        <x:v>SYN0278</x:v>
      </x:c>
      <x:c r="C583" s="50" t="str">
        <x:v>coach_contact_completed</x:v>
      </x:c>
      <x:c r="D583" s="51" t="n">
        <x:v>46151</x:v>
      </x:c>
    </x:row>
    <x:row r="584">
      <x:c r="A584" s="50" t="str">
        <x:v>EVT000581</x:v>
      </x:c>
      <x:c r="B584" s="50" t="str">
        <x:v>SYN0278</x:v>
      </x:c>
      <x:c r="C584" s="50" t="str">
        <x:v>day30_checkin_completed</x:v>
      </x:c>
      <x:c r="D584" s="51" t="n">
        <x:v>46173</x:v>
      </x:c>
    </x:row>
    <x:row r="585">
      <x:c r="A585" s="50" t="str">
        <x:v>EVT000582</x:v>
      </x:c>
      <x:c r="B585" s="50" t="str">
        <x:v>SYN0279</x:v>
      </x:c>
      <x:c r="C585" s="50" t="str">
        <x:v>coach_contact_completed</x:v>
      </x:c>
      <x:c r="D585" s="51" t="n">
        <x:v>46132</x:v>
      </x:c>
    </x:row>
    <x:row r="586">
      <x:c r="A586" s="50" t="str">
        <x:v>EVT000583</x:v>
      </x:c>
      <x:c r="B586" s="50" t="str">
        <x:v>SYN0279</x:v>
      </x:c>
      <x:c r="C586" s="50" t="str">
        <x:v>day30_checkin_completed</x:v>
      </x:c>
      <x:c r="D586" s="51" t="n">
        <x:v>46161</x:v>
      </x:c>
    </x:row>
    <x:row r="587">
      <x:c r="A587" s="50" t="str">
        <x:v>EVT000584</x:v>
      </x:c>
      <x:c r="B587" s="50" t="str">
        <x:v>SYN0279</x:v>
      </x:c>
      <x:c r="C587" s="50" t="str">
        <x:v>day60_activity_observed</x:v>
      </x:c>
      <x:c r="D587" s="51" t="n">
        <x:v>46200</x:v>
      </x:c>
    </x:row>
    <x:row r="588">
      <x:c r="A588" s="50" t="str">
        <x:v>EVT000585</x:v>
      </x:c>
      <x:c r="B588" s="50" t="str">
        <x:v>SYN0280</x:v>
      </x:c>
      <x:c r="C588" s="50" t="str">
        <x:v>coach_contact_completed</x:v>
      </x:c>
      <x:c r="D588" s="51" t="n">
        <x:v>46034</x:v>
      </x:c>
    </x:row>
    <x:row r="589">
      <x:c r="A589" s="50" t="str">
        <x:v>EVT000586</x:v>
      </x:c>
      <x:c r="B589" s="50" t="str">
        <x:v>SYN0281</x:v>
      </x:c>
      <x:c r="C589" s="50" t="str">
        <x:v>day30_checkin_completed</x:v>
      </x:c>
      <x:c r="D589" s="51" t="n">
        <x:v>46168</x:v>
      </x:c>
    </x:row>
    <x:row r="590">
      <x:c r="A590" s="50" t="str">
        <x:v>EVT000587</x:v>
      </x:c>
      <x:c r="B590" s="50" t="str">
        <x:v>SYN0281</x:v>
      </x:c>
      <x:c r="C590" s="50" t="str">
        <x:v>day60_activity_observed</x:v>
      </x:c>
      <x:c r="D590" s="51" t="n">
        <x:v>46201</x:v>
      </x:c>
    </x:row>
    <x:row r="591">
      <x:c r="A591" s="50" t="str">
        <x:v>EVT000588</x:v>
      </x:c>
      <x:c r="B591" s="50" t="str">
        <x:v>SYN0282</x:v>
      </x:c>
      <x:c r="C591" s="50" t="str">
        <x:v>coach_contact_completed</x:v>
      </x:c>
      <x:c r="D591" s="51" t="n">
        <x:v>46116</x:v>
      </x:c>
    </x:row>
    <x:row r="592">
      <x:c r="A592" s="50" t="str">
        <x:v>EVT000589</x:v>
      </x:c>
      <x:c r="B592" s="50" t="str">
        <x:v>SYN0282</x:v>
      </x:c>
      <x:c r="C592" s="50" t="str">
        <x:v>day30_checkin_completed</x:v>
      </x:c>
      <x:c r="D592" s="51" t="n">
        <x:v>46147</x:v>
      </x:c>
    </x:row>
    <x:row r="593">
      <x:c r="A593" s="50" t="str">
        <x:v>EVT000590</x:v>
      </x:c>
      <x:c r="B593" s="50" t="str">
        <x:v>SYN0282</x:v>
      </x:c>
      <x:c r="C593" s="50" t="str">
        <x:v>day60_activity_observed</x:v>
      </x:c>
      <x:c r="D593" s="51" t="n">
        <x:v>46178</x:v>
      </x:c>
    </x:row>
    <x:row r="594">
      <x:c r="A594" s="50" t="str">
        <x:v>EVT000591</x:v>
      </x:c>
      <x:c r="B594" s="50" t="str">
        <x:v>SYN0283</x:v>
      </x:c>
      <x:c r="C594" s="50" t="str">
        <x:v>coach_contact_completed</x:v>
      </x:c>
      <x:c r="D594" s="51" t="n">
        <x:v>46049</x:v>
      </x:c>
    </x:row>
    <x:row r="595">
      <x:c r="A595" s="50" t="str">
        <x:v>EVT000592</x:v>
      </x:c>
      <x:c r="B595" s="50" t="str">
        <x:v>SYN0283</x:v>
      </x:c>
      <x:c r="C595" s="50" t="str">
        <x:v>day30_checkin_completed</x:v>
      </x:c>
      <x:c r="D595" s="51" t="n">
        <x:v>46068</x:v>
      </x:c>
    </x:row>
    <x:row r="596">
      <x:c r="A596" s="50" t="str">
        <x:v>EVT000593</x:v>
      </x:c>
      <x:c r="B596" s="50" t="str">
        <x:v>SYN0283</x:v>
      </x:c>
      <x:c r="C596" s="50" t="str">
        <x:v>day60_activity_observed</x:v>
      </x:c>
      <x:c r="D596" s="51" t="n">
        <x:v>46101</x:v>
      </x:c>
    </x:row>
    <x:row r="597">
      <x:c r="A597" s="50" t="str">
        <x:v>EVT000594</x:v>
      </x:c>
      <x:c r="B597" s="50" t="str">
        <x:v>SYN0284</x:v>
      </x:c>
      <x:c r="C597" s="50" t="str">
        <x:v>coach_contact_completed</x:v>
      </x:c>
      <x:c r="D597" s="51" t="n">
        <x:v>46070</x:v>
      </x:c>
    </x:row>
    <x:row r="598">
      <x:c r="A598" s="50" t="str">
        <x:v>EVT000595</x:v>
      </x:c>
      <x:c r="B598" s="50" t="str">
        <x:v>SYN0284</x:v>
      </x:c>
      <x:c r="C598" s="50" t="str">
        <x:v>day30_checkin_completed</x:v>
      </x:c>
      <x:c r="D598" s="51" t="n">
        <x:v>46099</x:v>
      </x:c>
    </x:row>
    <x:row r="599">
      <x:c r="A599" s="50" t="str">
        <x:v>EVT000596</x:v>
      </x:c>
      <x:c r="B599" s="50" t="str">
        <x:v>SYN0284</x:v>
      </x:c>
      <x:c r="C599" s="50" t="str">
        <x:v>day60_activity_observed</x:v>
      </x:c>
      <x:c r="D599" s="51" t="n">
        <x:v>46140</x:v>
      </x:c>
    </x:row>
    <x:row r="600">
      <x:c r="A600" s="50" t="str">
        <x:v>EVT000597</x:v>
      </x:c>
      <x:c r="B600" s="50" t="str">
        <x:v>SYN0285</x:v>
      </x:c>
      <x:c r="C600" s="50" t="str">
        <x:v>coach_contact_completed</x:v>
      </x:c>
      <x:c r="D600" s="51" t="n">
        <x:v>46043</x:v>
      </x:c>
    </x:row>
    <x:row r="601">
      <x:c r="A601" s="50" t="str">
        <x:v>EVT000598</x:v>
      </x:c>
      <x:c r="B601" s="50" t="str">
        <x:v>SYN0285</x:v>
      </x:c>
      <x:c r="C601" s="50" t="str">
        <x:v>day30_checkin_completed</x:v>
      </x:c>
      <x:c r="D601" s="51" t="n">
        <x:v>46066</x:v>
      </x:c>
    </x:row>
    <x:row r="602">
      <x:c r="A602" s="50" t="str">
        <x:v>EVT000599</x:v>
      </x:c>
      <x:c r="B602" s="50" t="str">
        <x:v>SYN0286</x:v>
      </x:c>
      <x:c r="C602" s="50" t="str">
        <x:v>day60_activity_observed</x:v>
      </x:c>
      <x:c r="D602" s="51" t="n">
        <x:v>46281</x:v>
      </x:c>
    </x:row>
    <x:row r="603">
      <x:c r="A603" s="50" t="str">
        <x:v>EVT000600</x:v>
      </x:c>
      <x:c r="B603" s="50" t="str">
        <x:v>SYN0288</x:v>
      </x:c>
      <x:c r="C603" s="50" t="str">
        <x:v>day30_checkin_completed</x:v>
      </x:c>
      <x:c r="D603" s="51" t="n">
        <x:v>46183</x:v>
      </x:c>
    </x:row>
    <x:row r="604">
      <x:c r="A604" s="50" t="str">
        <x:v>EVT000601</x:v>
      </x:c>
      <x:c r="B604" s="50" t="str">
        <x:v>SYN0288</x:v>
      </x:c>
      <x:c r="C604" s="50" t="str">
        <x:v>day60_activity_observed</x:v>
      </x:c>
      <x:c r="D604" s="51" t="n">
        <x:v>46224</x:v>
      </x:c>
    </x:row>
    <x:row r="605">
      <x:c r="A605" s="50" t="str">
        <x:v>EVT000602</x:v>
      </x:c>
      <x:c r="B605" s="50" t="str">
        <x:v>SYN0289</x:v>
      </x:c>
      <x:c r="C605" s="50" t="str">
        <x:v>coach_contact_completed</x:v>
      </x:c>
      <x:c r="D605" s="51" t="n">
        <x:v>46174</x:v>
      </x:c>
    </x:row>
    <x:row r="606">
      <x:c r="A606" s="50" t="str">
        <x:v>EVT000603</x:v>
      </x:c>
      <x:c r="B606" s="50" t="str">
        <x:v>SYN0289</x:v>
      </x:c>
      <x:c r="C606" s="50" t="str">
        <x:v>day30_checkin_completed</x:v>
      </x:c>
      <x:c r="D606" s="51" t="n">
        <x:v>46200</x:v>
      </x:c>
    </x:row>
    <x:row r="607">
      <x:c r="A607" s="50" t="str">
        <x:v>EVT000604</x:v>
      </x:c>
      <x:c r="B607" s="50" t="str">
        <x:v>SYN0289</x:v>
      </x:c>
      <x:c r="C607" s="50" t="str">
        <x:v>day60_activity_observed</x:v>
      </x:c>
      <x:c r="D607" s="51" t="n">
        <x:v>46237</x:v>
      </x:c>
    </x:row>
    <x:row r="608">
      <x:c r="A608" s="50" t="str">
        <x:v>EVT000605</x:v>
      </x:c>
      <x:c r="B608" s="50" t="str">
        <x:v>SYN0291</x:v>
      </x:c>
      <x:c r="C608" s="50" t="str">
        <x:v>coach_contact_completed</x:v>
      </x:c>
      <x:c r="D608" s="51" t="n">
        <x:v>46094</x:v>
      </x:c>
    </x:row>
    <x:row r="609">
      <x:c r="A609" s="50" t="str">
        <x:v>EVT000606</x:v>
      </x:c>
      <x:c r="B609" s="50" t="str">
        <x:v>SYN0291</x:v>
      </x:c>
      <x:c r="C609" s="50" t="str">
        <x:v>day30_checkin_completed</x:v>
      </x:c>
      <x:c r="D609" s="51" t="n">
        <x:v>46124</x:v>
      </x:c>
    </x:row>
    <x:row r="610">
      <x:c r="A610" s="50" t="str">
        <x:v>EVT000607</x:v>
      </x:c>
      <x:c r="B610" s="50" t="str">
        <x:v>SYN0292</x:v>
      </x:c>
      <x:c r="C610" s="50" t="str">
        <x:v>coach_contact_completed</x:v>
      </x:c>
      <x:c r="D610" s="51" t="n">
        <x:v>46061</x:v>
      </x:c>
    </x:row>
    <x:row r="611">
      <x:c r="A611" s="50" t="str">
        <x:v>EVT000608</x:v>
      </x:c>
      <x:c r="B611" s="50" t="str">
        <x:v>SYN0293</x:v>
      </x:c>
      <x:c r="C611" s="50" t="str">
        <x:v>coach_contact_completed</x:v>
      </x:c>
      <x:c r="D611" s="51" t="n">
        <x:v>46165</x:v>
      </x:c>
    </x:row>
    <x:row r="612">
      <x:c r="A612" s="50" t="str">
        <x:v>EVT000609</x:v>
      </x:c>
      <x:c r="B612" s="50" t="str">
        <x:v>SYN0294</x:v>
      </x:c>
      <x:c r="C612" s="50" t="str">
        <x:v>coach_contact_completed</x:v>
      </x:c>
      <x:c r="D612" s="51" t="n">
        <x:v>46146</x:v>
      </x:c>
    </x:row>
    <x:row r="613">
      <x:c r="A613" s="50" t="str">
        <x:v>EVT000610</x:v>
      </x:c>
      <x:c r="B613" s="50" t="str">
        <x:v>SYN0295</x:v>
      </x:c>
      <x:c r="C613" s="50" t="str">
        <x:v>coach_contact_completed</x:v>
      </x:c>
      <x:c r="D613" s="51" t="n">
        <x:v>46042</x:v>
      </x:c>
    </x:row>
    <x:row r="614">
      <x:c r="A614" s="50" t="str">
        <x:v>EVT000611</x:v>
      </x:c>
      <x:c r="B614" s="50" t="str">
        <x:v>SYN0295</x:v>
      </x:c>
      <x:c r="C614" s="50" t="str">
        <x:v>day30_checkin_completed</x:v>
      </x:c>
      <x:c r="D614" s="51" t="n">
        <x:v>46076</x:v>
      </x:c>
    </x:row>
    <x:row r="615">
      <x:c r="A615" s="50" t="str">
        <x:v>EVT000612</x:v>
      </x:c>
      <x:c r="B615" s="50" t="str">
        <x:v>SYN0295</x:v>
      </x:c>
      <x:c r="C615" s="50" t="str">
        <x:v>day60_activity_observed</x:v>
      </x:c>
      <x:c r="D615" s="51" t="n">
        <x:v>46102</x:v>
      </x:c>
    </x:row>
    <x:row r="616">
      <x:c r="A616" s="50" t="str">
        <x:v>EVT000613</x:v>
      </x:c>
      <x:c r="B616" s="50" t="str">
        <x:v>SYN0296</x:v>
      </x:c>
      <x:c r="C616" s="50" t="str">
        <x:v>coach_contact_completed</x:v>
      </x:c>
      <x:c r="D616" s="51" t="n">
        <x:v>46041</x:v>
      </x:c>
    </x:row>
    <x:row r="617">
      <x:c r="A617" s="50" t="str">
        <x:v>EVT000614</x:v>
      </x:c>
      <x:c r="B617" s="50" t="str">
        <x:v>SYN0296</x:v>
      </x:c>
      <x:c r="C617" s="50" t="str">
        <x:v>day60_activity_observed</x:v>
      </x:c>
      <x:c r="D617" s="51" t="n">
        <x:v>46104</x:v>
      </x:c>
    </x:row>
    <x:row r="618">
      <x:c r="A618" s="50" t="str">
        <x:v>EVT000615</x:v>
      </x:c>
      <x:c r="B618" s="50" t="str">
        <x:v>SYN0297</x:v>
      </x:c>
      <x:c r="C618" s="50" t="str">
        <x:v>coach_contact_completed</x:v>
      </x:c>
      <x:c r="D618" s="51" t="n">
        <x:v>46133</x:v>
      </x:c>
    </x:row>
    <x:row r="619">
      <x:c r="A619" s="50" t="str">
        <x:v>EVT000616</x:v>
      </x:c>
      <x:c r="B619" s="50" t="str">
        <x:v>SYN0297</x:v>
      </x:c>
      <x:c r="C619" s="50" t="str">
        <x:v>day30_checkin_completed</x:v>
      </x:c>
      <x:c r="D619" s="51" t="n">
        <x:v>46166</x:v>
      </x:c>
    </x:row>
    <x:row r="620">
      <x:c r="A620" s="50" t="str">
        <x:v>EVT000617</x:v>
      </x:c>
      <x:c r="B620" s="50" t="str">
        <x:v>SYN0297</x:v>
      </x:c>
      <x:c r="C620" s="50" t="str">
        <x:v>day60_activity_observed</x:v>
      </x:c>
      <x:c r="D620" s="51" t="n">
        <x:v>46200</x:v>
      </x:c>
    </x:row>
    <x:row r="621">
      <x:c r="A621" s="50" t="str">
        <x:v>EVT000618</x:v>
      </x:c>
      <x:c r="B621" s="50" t="str">
        <x:v>SYN0298</x:v>
      </x:c>
      <x:c r="C621" s="50" t="str">
        <x:v>coach_contact_completed</x:v>
      </x:c>
      <x:c r="D621" s="51" t="n">
        <x:v>46100</x:v>
      </x:c>
    </x:row>
    <x:row r="622">
      <x:c r="A622" s="50" t="str">
        <x:v>EVT000619</x:v>
      </x:c>
      <x:c r="B622" s="50" t="str">
        <x:v>SYN0298</x:v>
      </x:c>
      <x:c r="C622" s="50" t="str">
        <x:v>day30_checkin_completed</x:v>
      </x:c>
      <x:c r="D622" s="51" t="n">
        <x:v>46122</x:v>
      </x:c>
    </x:row>
    <x:row r="623">
      <x:c r="A623" s="50" t="str">
        <x:v>EVT000620</x:v>
      </x:c>
      <x:c r="B623" s="50" t="str">
        <x:v>SYN0298</x:v>
      </x:c>
      <x:c r="C623" s="50" t="str">
        <x:v>day60_activity_observed</x:v>
      </x:c>
      <x:c r="D623" s="51" t="n">
        <x:v>46149</x:v>
      </x:c>
    </x:row>
    <x:row r="624">
      <x:c r="A624" s="50" t="str">
        <x:v>EVT000621</x:v>
      </x:c>
      <x:c r="B624" s="50" t="str">
        <x:v>SYN0299</x:v>
      </x:c>
      <x:c r="C624" s="50" t="str">
        <x:v>coach_contact_completed</x:v>
      </x:c>
      <x:c r="D624" s="51" t="n">
        <x:v>46080</x:v>
      </x:c>
    </x:row>
    <x:row r="625">
      <x:c r="A625" s="50" t="str">
        <x:v>EVT000622</x:v>
      </x:c>
      <x:c r="B625" s="50" t="str">
        <x:v>SYN0299</x:v>
      </x:c>
      <x:c r="C625" s="50" t="str">
        <x:v>day60_activity_observed</x:v>
      </x:c>
      <x:c r="D625" s="51" t="n">
        <x:v>46151</x:v>
      </x:c>
    </x:row>
    <x:row r="626">
      <x:c r="A626" s="50" t="str">
        <x:v>EVT000623</x:v>
      </x:c>
      <x:c r="B626" s="50" t="str">
        <x:v>SYN0300</x:v>
      </x:c>
      <x:c r="C626" s="50" t="str">
        <x:v>day60_activity_observed</x:v>
      </x:c>
      <x:c r="D626" s="51" t="n">
        <x:v>46289</x:v>
      </x:c>
    </x:row>
    <x:row r="627">
      <x:c r="A627" s="50" t="str">
        <x:v>EVT000624</x:v>
      </x:c>
      <x:c r="B627" s="50" t="str">
        <x:v>SYN0301</x:v>
      </x:c>
      <x:c r="C627" s="50" t="str">
        <x:v>coach_contact_completed</x:v>
      </x:c>
      <x:c r="D627" s="51" t="n">
        <x:v>46098</x:v>
      </x:c>
    </x:row>
    <x:row r="628">
      <x:c r="A628" s="50" t="str">
        <x:v>EVT000625</x:v>
      </x:c>
      <x:c r="B628" s="50" t="str">
        <x:v>SYN0301</x:v>
      </x:c>
      <x:c r="C628" s="50" t="str">
        <x:v>day30_checkin_completed</x:v>
      </x:c>
      <x:c r="D628" s="51" t="n">
        <x:v>46123</x:v>
      </x:c>
    </x:row>
    <x:row r="629">
      <x:c r="A629" s="50" t="str">
        <x:v>EVT000626</x:v>
      </x:c>
      <x:c r="B629" s="50" t="str">
        <x:v>SYN0301</x:v>
      </x:c>
      <x:c r="C629" s="50" t="str">
        <x:v>day60_activity_observed</x:v>
      </x:c>
      <x:c r="D629" s="51" t="n">
        <x:v>46154</x:v>
      </x:c>
    </x:row>
    <x:row r="630">
      <x:c r="A630" s="50" t="str">
        <x:v>EVT000627</x:v>
      </x:c>
      <x:c r="B630" s="50" t="str">
        <x:v>SYN0302</x:v>
      </x:c>
      <x:c r="C630" s="50" t="str">
        <x:v>day30_checkin_completed</x:v>
      </x:c>
      <x:c r="D630" s="51" t="n">
        <x:v>46203</x:v>
      </x:c>
    </x:row>
    <x:row r="631">
      <x:c r="A631" s="50" t="str">
        <x:v>EVT000628</x:v>
      </x:c>
      <x:c r="B631" s="50" t="str">
        <x:v>SYN0303</x:v>
      </x:c>
      <x:c r="C631" s="50" t="str">
        <x:v>coach_contact_completed</x:v>
      </x:c>
      <x:c r="D631" s="51" t="n">
        <x:v>46210</x:v>
      </x:c>
    </x:row>
    <x:row r="632">
      <x:c r="A632" s="50" t="str">
        <x:v>EVT000629</x:v>
      </x:c>
      <x:c r="B632" s="50" t="str">
        <x:v>SYN0303</x:v>
      </x:c>
      <x:c r="C632" s="50" t="str">
        <x:v>day30_checkin_completed</x:v>
      </x:c>
      <x:c r="D632" s="51" t="n">
        <x:v>46237</x:v>
      </x:c>
    </x:row>
    <x:row r="633">
      <x:c r="A633" s="50" t="str">
        <x:v>EVT000630</x:v>
      </x:c>
      <x:c r="B633" s="50" t="str">
        <x:v>SYN0303</x:v>
      </x:c>
      <x:c r="C633" s="50" t="str">
        <x:v>day60_activity_observed</x:v>
      </x:c>
      <x:c r="D633" s="51" t="n">
        <x:v>46276</x:v>
      </x:c>
    </x:row>
    <x:row r="634">
      <x:c r="A634" s="50" t="str">
        <x:v>EVT000631</x:v>
      </x:c>
      <x:c r="B634" s="50" t="str">
        <x:v>SYN0304</x:v>
      </x:c>
      <x:c r="C634" s="50" t="str">
        <x:v>day30_checkin_completed</x:v>
      </x:c>
      <x:c r="D634" s="51" t="n">
        <x:v>46156</x:v>
      </x:c>
    </x:row>
    <x:row r="635">
      <x:c r="A635" s="50" t="str">
        <x:v>EVT000632</x:v>
      </x:c>
      <x:c r="B635" s="50" t="str">
        <x:v>SYN0304</x:v>
      </x:c>
      <x:c r="C635" s="50" t="str">
        <x:v>day60_activity_observed</x:v>
      </x:c>
      <x:c r="D635" s="51" t="n">
        <x:v>46200</x:v>
      </x:c>
    </x:row>
    <x:row r="636">
      <x:c r="A636" s="50" t="str">
        <x:v>EVT000633</x:v>
      </x:c>
      <x:c r="B636" s="50" t="str">
        <x:v>SYN0305</x:v>
      </x:c>
      <x:c r="C636" s="50" t="str">
        <x:v>day30_checkin_completed</x:v>
      </x:c>
      <x:c r="D636" s="51" t="n">
        <x:v>46066</x:v>
      </x:c>
    </x:row>
    <x:row r="637">
      <x:c r="A637" s="50" t="str">
        <x:v>EVT000634</x:v>
      </x:c>
      <x:c r="B637" s="50" t="str">
        <x:v>SYN0305</x:v>
      </x:c>
      <x:c r="C637" s="50" t="str">
        <x:v>day60_activity_observed</x:v>
      </x:c>
      <x:c r="D637" s="51" t="n">
        <x:v>46095</x:v>
      </x:c>
    </x:row>
    <x:row r="638">
      <x:c r="A638" s="50" t="str">
        <x:v>EVT000635</x:v>
      </x:c>
      <x:c r="B638" s="50" t="str">
        <x:v>SYN0306</x:v>
      </x:c>
      <x:c r="C638" s="50" t="str">
        <x:v>coach_contact_completed</x:v>
      </x:c>
      <x:c r="D638" s="51" t="n">
        <x:v>46231</x:v>
      </x:c>
    </x:row>
    <x:row r="639">
      <x:c r="A639" s="50" t="str">
        <x:v>EVT000636</x:v>
      </x:c>
      <x:c r="B639" s="50" t="str">
        <x:v>SYN0306</x:v>
      </x:c>
      <x:c r="C639" s="50" t="str">
        <x:v>day30_checkin_completed</x:v>
      </x:c>
      <x:c r="D639" s="51" t="n">
        <x:v>46262</x:v>
      </x:c>
    </x:row>
    <x:row r="640">
      <x:c r="A640" s="50" t="str">
        <x:v>EVT000637</x:v>
      </x:c>
      <x:c r="B640" s="50" t="str">
        <x:v>SYN0307</x:v>
      </x:c>
      <x:c r="C640" s="50" t="str">
        <x:v>coach_contact_completed</x:v>
      </x:c>
      <x:c r="D640" s="51" t="n">
        <x:v>46078</x:v>
      </x:c>
    </x:row>
    <x:row r="641">
      <x:c r="A641" s="50" t="str">
        <x:v>EVT000638</x:v>
      </x:c>
      <x:c r="B641" s="50" t="str">
        <x:v>SYN0307</x:v>
      </x:c>
      <x:c r="C641" s="50" t="str">
        <x:v>day30_checkin_completed</x:v>
      </x:c>
      <x:c r="D641" s="51" t="n">
        <x:v>46105</x:v>
      </x:c>
    </x:row>
    <x:row r="642">
      <x:c r="A642" s="50" t="str">
        <x:v>EVT000639</x:v>
      </x:c>
      <x:c r="B642" s="50" t="str">
        <x:v>SYN0308</x:v>
      </x:c>
      <x:c r="C642" s="50" t="str">
        <x:v>coach_contact_completed</x:v>
      </x:c>
      <x:c r="D642" s="51" t="n">
        <x:v>46176</x:v>
      </x:c>
    </x:row>
    <x:row r="643">
      <x:c r="A643" s="50" t="str">
        <x:v>EVT000640</x:v>
      </x:c>
      <x:c r="B643" s="50" t="str">
        <x:v>SYN0308</x:v>
      </x:c>
      <x:c r="C643" s="50" t="str">
        <x:v>day30_checkin_completed</x:v>
      </x:c>
      <x:c r="D643" s="51" t="n">
        <x:v>46204</x:v>
      </x:c>
    </x:row>
    <x:row r="644">
      <x:c r="A644" s="50" t="str">
        <x:v>EVT000641</x:v>
      </x:c>
      <x:c r="B644" s="50" t="str">
        <x:v>SYN0309</x:v>
      </x:c>
      <x:c r="C644" s="50" t="str">
        <x:v>day60_activity_observed</x:v>
      </x:c>
      <x:c r="D644" s="51" t="n">
        <x:v>46216</x:v>
      </x:c>
    </x:row>
    <x:row r="645">
      <x:c r="A645" s="50" t="str">
        <x:v>EVT000642</x:v>
      </x:c>
      <x:c r="B645" s="50" t="str">
        <x:v>SYN0310</x:v>
      </x:c>
      <x:c r="C645" s="50" t="str">
        <x:v>coach_contact_completed</x:v>
      </x:c>
      <x:c r="D645" s="51" t="n">
        <x:v>46075</x:v>
      </x:c>
    </x:row>
    <x:row r="646">
      <x:c r="A646" s="50" t="str">
        <x:v>EVT000643</x:v>
      </x:c>
      <x:c r="B646" s="50" t="str">
        <x:v>SYN0310</x:v>
      </x:c>
      <x:c r="C646" s="50" t="str">
        <x:v>day30_checkin_completed</x:v>
      </x:c>
      <x:c r="D646" s="51" t="n">
        <x:v>46100</x:v>
      </x:c>
    </x:row>
    <x:row r="647">
      <x:c r="A647" s="50" t="str">
        <x:v>EVT000644</x:v>
      </x:c>
      <x:c r="B647" s="50" t="str">
        <x:v>SYN0311</x:v>
      </x:c>
      <x:c r="C647" s="50" t="str">
        <x:v>coach_contact_completed</x:v>
      </x:c>
      <x:c r="D647" s="51" t="n">
        <x:v>46100</x:v>
      </x:c>
    </x:row>
    <x:row r="648">
      <x:c r="A648" s="50" t="str">
        <x:v>EVT000645</x:v>
      </x:c>
      <x:c r="B648" s="50" t="str">
        <x:v>SYN0311</x:v>
      </x:c>
      <x:c r="C648" s="50" t="str">
        <x:v>day60_activity_observed</x:v>
      </x:c>
      <x:c r="D648" s="51" t="n">
        <x:v>46167</x:v>
      </x:c>
    </x:row>
    <x:row r="649">
      <x:c r="A649" s="50" t="str">
        <x:v>EVT000646</x:v>
      </x:c>
      <x:c r="B649" s="50" t="str">
        <x:v>SYN0312</x:v>
      </x:c>
      <x:c r="C649" s="50" t="str">
        <x:v>coach_contact_completed</x:v>
      </x:c>
      <x:c r="D649" s="51" t="n">
        <x:v>46133</x:v>
      </x:c>
    </x:row>
    <x:row r="650">
      <x:c r="A650" s="50" t="str">
        <x:v>EVT000647</x:v>
      </x:c>
      <x:c r="B650" s="50" t="str">
        <x:v>SYN0312</x:v>
      </x:c>
      <x:c r="C650" s="50" t="str">
        <x:v>day30_checkin_completed</x:v>
      </x:c>
      <x:c r="D650" s="51" t="n">
        <x:v>46161</x:v>
      </x:c>
    </x:row>
    <x:row r="651">
      <x:c r="A651" s="50" t="str">
        <x:v>EVT000648</x:v>
      </x:c>
      <x:c r="B651" s="50" t="str">
        <x:v>SYN0313</x:v>
      </x:c>
      <x:c r="C651" s="50" t="str">
        <x:v>coach_contact_completed</x:v>
      </x:c>
      <x:c r="D651" s="51" t="n">
        <x:v>46043</x:v>
      </x:c>
    </x:row>
    <x:row r="652">
      <x:c r="A652" s="50" t="str">
        <x:v>EVT000649</x:v>
      </x:c>
      <x:c r="B652" s="50" t="str">
        <x:v>SYN0313</x:v>
      </x:c>
      <x:c r="C652" s="50" t="str">
        <x:v>day30_checkin_completed</x:v>
      </x:c>
      <x:c r="D652" s="51" t="n">
        <x:v>46067</x:v>
      </x:c>
    </x:row>
    <x:row r="653">
      <x:c r="A653" s="50" t="str">
        <x:v>EVT000650</x:v>
      </x:c>
      <x:c r="B653" s="50" t="str">
        <x:v>SYN0314</x:v>
      </x:c>
      <x:c r="C653" s="50" t="str">
        <x:v>coach_contact_completed</x:v>
      </x:c>
      <x:c r="D653" s="51" t="n">
        <x:v>46162</x:v>
      </x:c>
    </x:row>
    <x:row r="654">
      <x:c r="A654" s="50" t="str">
        <x:v>EVT000651</x:v>
      </x:c>
      <x:c r="B654" s="50" t="str">
        <x:v>SYN0314</x:v>
      </x:c>
      <x:c r="C654" s="50" t="str">
        <x:v>day30_checkin_completed</x:v>
      </x:c>
      <x:c r="D654" s="51" t="n">
        <x:v>46190</x:v>
      </x:c>
    </x:row>
    <x:row r="655">
      <x:c r="A655" s="50" t="str">
        <x:v>EVT000652</x:v>
      </x:c>
      <x:c r="B655" s="50" t="str">
        <x:v>SYN0315</x:v>
      </x:c>
      <x:c r="C655" s="50" t="str">
        <x:v>day60_activity_observed</x:v>
      </x:c>
      <x:c r="D655" s="51" t="n">
        <x:v>46210</x:v>
      </x:c>
    </x:row>
    <x:row r="656">
      <x:c r="A656" s="50" t="str">
        <x:v>EVT000653</x:v>
      </x:c>
      <x:c r="B656" s="50" t="str">
        <x:v>SYN0316</x:v>
      </x:c>
      <x:c r="C656" s="50" t="str">
        <x:v>coach_contact_completed</x:v>
      </x:c>
      <x:c r="D656" s="51" t="n">
        <x:v>46127</x:v>
      </x:c>
    </x:row>
    <x:row r="657">
      <x:c r="A657" s="50" t="str">
        <x:v>EVT000654</x:v>
      </x:c>
      <x:c r="B657" s="50" t="str">
        <x:v>SYN0316</x:v>
      </x:c>
      <x:c r="C657" s="50" t="str">
        <x:v>day30_checkin_completed</x:v>
      </x:c>
      <x:c r="D657" s="51" t="n">
        <x:v>46150</x:v>
      </x:c>
    </x:row>
    <x:row r="658">
      <x:c r="A658" s="50" t="str">
        <x:v>EVT000655</x:v>
      </x:c>
      <x:c r="B658" s="50" t="str">
        <x:v>SYN0317</x:v>
      </x:c>
      <x:c r="C658" s="50" t="str">
        <x:v>coach_contact_completed</x:v>
      </x:c>
      <x:c r="D658" s="51" t="n">
        <x:v>46243</x:v>
      </x:c>
    </x:row>
    <x:row r="659">
      <x:c r="A659" s="50" t="str">
        <x:v>EVT000656</x:v>
      </x:c>
      <x:c r="B659" s="50" t="str">
        <x:v>SYN0317</x:v>
      </x:c>
      <x:c r="C659" s="50" t="str">
        <x:v>day30_checkin_completed</x:v>
      </x:c>
      <x:c r="D659" s="51" t="n">
        <x:v>46275</x:v>
      </x:c>
    </x:row>
    <x:row r="660">
      <x:c r="A660" s="50" t="str">
        <x:v>EVT000657</x:v>
      </x:c>
      <x:c r="B660" s="50" t="str">
        <x:v>SYN0318</x:v>
      </x:c>
      <x:c r="C660" s="50" t="str">
        <x:v>coach_contact_completed</x:v>
      </x:c>
      <x:c r="D660" s="51" t="n">
        <x:v>46109</x:v>
      </x:c>
    </x:row>
    <x:row r="661">
      <x:c r="A661" s="50" t="str">
        <x:v>EVT000658</x:v>
      </x:c>
      <x:c r="B661" s="50" t="str">
        <x:v>SYN0318</x:v>
      </x:c>
      <x:c r="C661" s="50" t="str">
        <x:v>day30_checkin_completed</x:v>
      </x:c>
      <x:c r="D661" s="51" t="n">
        <x:v>46143</x:v>
      </x:c>
    </x:row>
    <x:row r="662">
      <x:c r="A662" s="50" t="str">
        <x:v>EVT000659</x:v>
      </x:c>
      <x:c r="B662" s="50" t="str">
        <x:v>SYN0318</x:v>
      </x:c>
      <x:c r="C662" s="50" t="str">
        <x:v>day60_activity_observed</x:v>
      </x:c>
      <x:c r="D662" s="51" t="n">
        <x:v>46172</x:v>
      </x:c>
    </x:row>
    <x:row r="663">
      <x:c r="A663" s="50" t="str">
        <x:v>EVT000660</x:v>
      </x:c>
      <x:c r="B663" s="50" t="str">
        <x:v>SYN0319</x:v>
      </x:c>
      <x:c r="C663" s="50" t="str">
        <x:v>coach_contact_completed</x:v>
      </x:c>
      <x:c r="D663" s="51" t="n">
        <x:v>46260</x:v>
      </x:c>
    </x:row>
    <x:row r="664">
      <x:c r="A664" s="50" t="str">
        <x:v>EVT000661</x:v>
      </x:c>
      <x:c r="B664" s="50" t="str">
        <x:v>SYN0319</x:v>
      </x:c>
      <x:c r="C664" s="50" t="str">
        <x:v>day30_checkin_completed</x:v>
      </x:c>
      <x:c r="D664" s="51" t="n">
        <x:v>46283</x:v>
      </x:c>
    </x:row>
    <x:row r="665">
      <x:c r="A665" s="50" t="str">
        <x:v>EVT000662</x:v>
      </x:c>
      <x:c r="B665" s="50" t="str">
        <x:v>SYN0320</x:v>
      </x:c>
      <x:c r="C665" s="50" t="str">
        <x:v>coach_contact_completed</x:v>
      </x:c>
      <x:c r="D665" s="51" t="n">
        <x:v>46178</x:v>
      </x:c>
    </x:row>
    <x:row r="666">
      <x:c r="A666" s="50" t="str">
        <x:v>EVT000663</x:v>
      </x:c>
      <x:c r="B666" s="50" t="str">
        <x:v>SYN0320</x:v>
      </x:c>
      <x:c r="C666" s="50" t="str">
        <x:v>day30_checkin_completed</x:v>
      </x:c>
      <x:c r="D666" s="51" t="n">
        <x:v>46207</x:v>
      </x:c>
    </x:row>
    <x:row r="667">
      <x:c r="A667" s="50" t="str">
        <x:v>EVT000664</x:v>
      </x:c>
      <x:c r="B667" s="50" t="str">
        <x:v>SYN0321</x:v>
      </x:c>
      <x:c r="C667" s="50" t="str">
        <x:v>coach_contact_completed</x:v>
      </x:c>
      <x:c r="D667" s="51" t="n">
        <x:v>46263</x:v>
      </x:c>
    </x:row>
    <x:row r="668">
      <x:c r="A668" s="50" t="str">
        <x:v>EVT000665</x:v>
      </x:c>
      <x:c r="B668" s="50" t="str">
        <x:v>SYN0322</x:v>
      </x:c>
      <x:c r="C668" s="50" t="str">
        <x:v>coach_contact_completed</x:v>
      </x:c>
      <x:c r="D668" s="51" t="n">
        <x:v>46113</x:v>
      </x:c>
    </x:row>
    <x:row r="669">
      <x:c r="A669" s="50" t="str">
        <x:v>EVT000666</x:v>
      </x:c>
      <x:c r="B669" s="50" t="str">
        <x:v>SYN0322</x:v>
      </x:c>
      <x:c r="C669" s="50" t="str">
        <x:v>day30_checkin_completed</x:v>
      </x:c>
      <x:c r="D669" s="51" t="n">
        <x:v>46146</x:v>
      </x:c>
    </x:row>
    <x:row r="670">
      <x:c r="A670" s="50" t="str">
        <x:v>EVT000667</x:v>
      </x:c>
      <x:c r="B670" s="50" t="str">
        <x:v>SYN0323</x:v>
      </x:c>
      <x:c r="C670" s="50" t="str">
        <x:v>coach_contact_completed</x:v>
      </x:c>
      <x:c r="D670" s="51" t="n">
        <x:v>46092</x:v>
      </x:c>
    </x:row>
    <x:row r="671">
      <x:c r="A671" s="50" t="str">
        <x:v>EVT000668</x:v>
      </x:c>
      <x:c r="B671" s="50" t="str">
        <x:v>SYN0323</x:v>
      </x:c>
      <x:c r="C671" s="50" t="str">
        <x:v>day30_checkin_completed</x:v>
      </x:c>
      <x:c r="D671" s="51" t="n">
        <x:v>46118</x:v>
      </x:c>
    </x:row>
    <x:row r="672">
      <x:c r="A672" s="50" t="str">
        <x:v>EVT000669</x:v>
      </x:c>
      <x:c r="B672" s="50" t="str">
        <x:v>SYN0324</x:v>
      </x:c>
      <x:c r="C672" s="50" t="str">
        <x:v>coach_contact_completed</x:v>
      </x:c>
      <x:c r="D672" s="51" t="n">
        <x:v>46110</x:v>
      </x:c>
    </x:row>
    <x:row r="673">
      <x:c r="A673" s="50" t="str">
        <x:v>EVT000670</x:v>
      </x:c>
      <x:c r="B673" s="50" t="str">
        <x:v>SYN0324</x:v>
      </x:c>
      <x:c r="C673" s="50" t="str">
        <x:v>day60_activity_observed</x:v>
      </x:c>
      <x:c r="D673" s="51" t="n">
        <x:v>46172</x:v>
      </x:c>
    </x:row>
    <x:row r="674">
      <x:c r="A674" s="50" t="str">
        <x:v>EVT000671</x:v>
      </x:c>
      <x:c r="B674" s="50" t="str">
        <x:v>SYN0325</x:v>
      </x:c>
      <x:c r="C674" s="50" t="str">
        <x:v>coach_contact_completed</x:v>
      </x:c>
      <x:c r="D674" s="51" t="n">
        <x:v>46032</x:v>
      </x:c>
    </x:row>
    <x:row r="675">
      <x:c r="A675" s="50" t="str">
        <x:v>EVT000672</x:v>
      </x:c>
      <x:c r="B675" s="50" t="str">
        <x:v>SYN0327</x:v>
      </x:c>
      <x:c r="C675" s="50" t="str">
        <x:v>coach_contact_completed</x:v>
      </x:c>
      <x:c r="D675" s="51" t="n">
        <x:v>46181</x:v>
      </x:c>
    </x:row>
    <x:row r="676">
      <x:c r="A676" s="50" t="str">
        <x:v>EVT000673</x:v>
      </x:c>
      <x:c r="B676" s="50" t="str">
        <x:v>SYN0327</x:v>
      </x:c>
      <x:c r="C676" s="50" t="str">
        <x:v>day30_checkin_completed</x:v>
      </x:c>
      <x:c r="D676" s="51" t="n">
        <x:v>46214</x:v>
      </x:c>
    </x:row>
    <x:row r="677">
      <x:c r="A677" s="50" t="str">
        <x:v>EVT000674</x:v>
      </x:c>
      <x:c r="B677" s="50" t="str">
        <x:v>SYN0328</x:v>
      </x:c>
      <x:c r="C677" s="50" t="str">
        <x:v>coach_contact_completed</x:v>
      </x:c>
      <x:c r="D677" s="51" t="n">
        <x:v>46059</x:v>
      </x:c>
    </x:row>
    <x:row r="678">
      <x:c r="A678" s="50" t="str">
        <x:v>EVT000675</x:v>
      </x:c>
      <x:c r="B678" s="50" t="str">
        <x:v>SYN0328</x:v>
      </x:c>
      <x:c r="C678" s="50" t="str">
        <x:v>day60_activity_observed</x:v>
      </x:c>
      <x:c r="D678" s="51" t="n">
        <x:v>46128</x:v>
      </x:c>
    </x:row>
    <x:row r="679">
      <x:c r="A679" s="50" t="str">
        <x:v>EVT000676</x:v>
      </x:c>
      <x:c r="B679" s="50" t="str">
        <x:v>SYN0329</x:v>
      </x:c>
      <x:c r="C679" s="50" t="str">
        <x:v>coach_contact_completed</x:v>
      </x:c>
      <x:c r="D679" s="51" t="n">
        <x:v>46180</x:v>
      </x:c>
    </x:row>
    <x:row r="680">
      <x:c r="A680" s="50" t="str">
        <x:v>EVT000677</x:v>
      </x:c>
      <x:c r="B680" s="50" t="str">
        <x:v>SYN0329</x:v>
      </x:c>
      <x:c r="C680" s="50" t="str">
        <x:v>day30_checkin_completed</x:v>
      </x:c>
      <x:c r="D680" s="51" t="n">
        <x:v>46205</x:v>
      </x:c>
    </x:row>
    <x:row r="681">
      <x:c r="A681" s="50" t="str">
        <x:v>EVT000678</x:v>
      </x:c>
      <x:c r="B681" s="50" t="str">
        <x:v>SYN0330</x:v>
      </x:c>
      <x:c r="C681" s="50" t="str">
        <x:v>coach_contact_completed</x:v>
      </x:c>
      <x:c r="D681" s="51" t="n">
        <x:v>46043</x:v>
      </x:c>
    </x:row>
    <x:row r="682">
      <x:c r="A682" s="50" t="str">
        <x:v>EVT000679</x:v>
      </x:c>
      <x:c r="B682" s="50" t="str">
        <x:v>SYN0330</x:v>
      </x:c>
      <x:c r="C682" s="50" t="str">
        <x:v>day30_checkin_completed</x:v>
      </x:c>
      <x:c r="D682" s="51" t="n">
        <x:v>46068</x:v>
      </x:c>
    </x:row>
    <x:row r="683">
      <x:c r="A683" s="50" t="str">
        <x:v>EVT000680</x:v>
      </x:c>
      <x:c r="B683" s="50" t="str">
        <x:v>SYN0330</x:v>
      </x:c>
      <x:c r="C683" s="50" t="str">
        <x:v>day60_activity_observed</x:v>
      </x:c>
      <x:c r="D683" s="51" t="n">
        <x:v>46097</x:v>
      </x:c>
    </x:row>
    <x:row r="684">
      <x:c r="A684" s="50" t="str">
        <x:v>EVT000681</x:v>
      </x:c>
      <x:c r="B684" s="50" t="str">
        <x:v>SYN0331</x:v>
      </x:c>
      <x:c r="C684" s="50" t="str">
        <x:v>coach_contact_completed</x:v>
      </x:c>
      <x:c r="D684" s="51" t="n">
        <x:v>46242</x:v>
      </x:c>
    </x:row>
    <x:row r="685">
      <x:c r="A685" s="50" t="str">
        <x:v>EVT000682</x:v>
      </x:c>
      <x:c r="B685" s="50" t="str">
        <x:v>SYN0331</x:v>
      </x:c>
      <x:c r="C685" s="50" t="str">
        <x:v>day60_activity_observed</x:v>
      </x:c>
      <x:c r="D685" s="51" t="n">
        <x:v>46295</x:v>
      </x:c>
    </x:row>
    <x:row r="686">
      <x:c r="A686" s="50" t="str">
        <x:v>EVT000683</x:v>
      </x:c>
      <x:c r="B686" s="50" t="str">
        <x:v>SYN0332</x:v>
      </x:c>
      <x:c r="C686" s="50" t="str">
        <x:v>coach_contact_completed</x:v>
      </x:c>
      <x:c r="D686" s="51" t="n">
        <x:v>46059</x:v>
      </x:c>
    </x:row>
    <x:row r="687">
      <x:c r="A687" s="50" t="str">
        <x:v>EVT000684</x:v>
      </x:c>
      <x:c r="B687" s="50" t="str">
        <x:v>SYN0332</x:v>
      </x:c>
      <x:c r="C687" s="50" t="str">
        <x:v>day30_checkin_completed</x:v>
      </x:c>
      <x:c r="D687" s="51" t="n">
        <x:v>46090</x:v>
      </x:c>
    </x:row>
    <x:row r="688">
      <x:c r="A688" s="50" t="str">
        <x:v>EVT000685</x:v>
      </x:c>
      <x:c r="B688" s="50" t="str">
        <x:v>SYN0332</x:v>
      </x:c>
      <x:c r="C688" s="50" t="str">
        <x:v>day60_activity_observed</x:v>
      </x:c>
      <x:c r="D688" s="51" t="n">
        <x:v>46123</x:v>
      </x:c>
    </x:row>
    <x:row r="689">
      <x:c r="A689" s="50" t="str">
        <x:v>EVT000686</x:v>
      </x:c>
      <x:c r="B689" s="50" t="str">
        <x:v>SYN0333</x:v>
      </x:c>
      <x:c r="C689" s="50" t="str">
        <x:v>coach_contact_completed</x:v>
      </x:c>
      <x:c r="D689" s="51" t="n">
        <x:v>46040</x:v>
      </x:c>
    </x:row>
    <x:row r="690">
      <x:c r="A690" s="50" t="str">
        <x:v>EVT000687</x:v>
      </x:c>
      <x:c r="B690" s="50" t="str">
        <x:v>SYN0333</x:v>
      </x:c>
      <x:c r="C690" s="50" t="str">
        <x:v>day30_checkin_completed</x:v>
      </x:c>
      <x:c r="D690" s="51" t="n">
        <x:v>46073</x:v>
      </x:c>
    </x:row>
    <x:row r="691">
      <x:c r="A691" s="50" t="str">
        <x:v>EVT000688</x:v>
      </x:c>
      <x:c r="B691" s="50" t="str">
        <x:v>SYN0333</x:v>
      </x:c>
      <x:c r="C691" s="50" t="str">
        <x:v>day60_activity_observed</x:v>
      </x:c>
      <x:c r="D691" s="51" t="n">
        <x:v>46102</x:v>
      </x:c>
    </x:row>
    <x:row r="692">
      <x:c r="A692" s="50" t="str">
        <x:v>EVT000689</x:v>
      </x:c>
      <x:c r="B692" s="50" t="str">
        <x:v>SYN0334</x:v>
      </x:c>
      <x:c r="C692" s="50" t="str">
        <x:v>coach_contact_completed</x:v>
      </x:c>
      <x:c r="D692" s="51" t="n">
        <x:v>46233</x:v>
      </x:c>
    </x:row>
    <x:row r="693">
      <x:c r="A693" s="50" t="str">
        <x:v>EVT000690</x:v>
      </x:c>
      <x:c r="B693" s="50" t="str">
        <x:v>SYN0334</x:v>
      </x:c>
      <x:c r="C693" s="50" t="str">
        <x:v>day30_checkin_completed</x:v>
      </x:c>
      <x:c r="D693" s="51" t="n">
        <x:v>46266</x:v>
      </x:c>
    </x:row>
    <x:row r="694">
      <x:c r="A694" s="50" t="str">
        <x:v>EVT000691</x:v>
      </x:c>
      <x:c r="B694" s="50" t="str">
        <x:v>SYN0334</x:v>
      </x:c>
      <x:c r="C694" s="50" t="str">
        <x:v>day60_activity_observed</x:v>
      </x:c>
      <x:c r="D694" s="51" t="n">
        <x:v>46289</x:v>
      </x:c>
    </x:row>
    <x:row r="695">
      <x:c r="A695" s="50" t="str">
        <x:v>EVT000692</x:v>
      </x:c>
      <x:c r="B695" s="50" t="str">
        <x:v>SYN0336</x:v>
      </x:c>
      <x:c r="C695" s="50" t="str">
        <x:v>day30_checkin_completed</x:v>
      </x:c>
      <x:c r="D695" s="51" t="n">
        <x:v>46057</x:v>
      </x:c>
    </x:row>
    <x:row r="696">
      <x:c r="A696" s="50" t="str">
        <x:v>EVT000693</x:v>
      </x:c>
      <x:c r="B696" s="50" t="str">
        <x:v>SYN0336</x:v>
      </x:c>
      <x:c r="C696" s="50" t="str">
        <x:v>day60_activity_observed</x:v>
      </x:c>
      <x:c r="D696" s="51" t="n">
        <x:v>46091</x:v>
      </x:c>
    </x:row>
    <x:row r="697">
      <x:c r="A697" s="50" t="str">
        <x:v>EVT000694</x:v>
      </x:c>
      <x:c r="B697" s="50" t="str">
        <x:v>SYN0337</x:v>
      </x:c>
      <x:c r="C697" s="50" t="str">
        <x:v>day30_checkin_completed</x:v>
      </x:c>
      <x:c r="D697" s="51" t="n">
        <x:v>46097</x:v>
      </x:c>
    </x:row>
    <x:row r="698">
      <x:c r="A698" s="50" t="str">
        <x:v>EVT000695</x:v>
      </x:c>
      <x:c r="B698" s="50" t="str">
        <x:v>SYN0337</x:v>
      </x:c>
      <x:c r="C698" s="50" t="str">
        <x:v>day60_activity_observed</x:v>
      </x:c>
      <x:c r="D698" s="51" t="n">
        <x:v>46128</x:v>
      </x:c>
    </x:row>
    <x:row r="699">
      <x:c r="A699" s="50" t="str">
        <x:v>EVT000696</x:v>
      </x:c>
      <x:c r="B699" s="50" t="str">
        <x:v>SYN0338</x:v>
      </x:c>
      <x:c r="C699" s="50" t="str">
        <x:v>coach_contact_completed</x:v>
      </x:c>
      <x:c r="D699" s="51" t="n">
        <x:v>46161</x:v>
      </x:c>
    </x:row>
    <x:row r="700">
      <x:c r="A700" s="50" t="str">
        <x:v>EVT000697</x:v>
      </x:c>
      <x:c r="B700" s="50" t="str">
        <x:v>SYN0339</x:v>
      </x:c>
      <x:c r="C700" s="50" t="str">
        <x:v>coach_contact_completed</x:v>
      </x:c>
      <x:c r="D700" s="51" t="n">
        <x:v>46056</x:v>
      </x:c>
    </x:row>
    <x:row r="701">
      <x:c r="A701" s="50" t="str">
        <x:v>EVT000698</x:v>
      </x:c>
      <x:c r="B701" s="50" t="str">
        <x:v>SYN0339</x:v>
      </x:c>
      <x:c r="C701" s="50" t="str">
        <x:v>day60_activity_observed</x:v>
      </x:c>
      <x:c r="D701" s="51" t="n">
        <x:v>46104</x:v>
      </x:c>
    </x:row>
    <x:row r="702">
      <x:c r="A702" s="50" t="str">
        <x:v>EVT000699</x:v>
      </x:c>
      <x:c r="B702" s="50" t="str">
        <x:v>SYN0340</x:v>
      </x:c>
      <x:c r="C702" s="50" t="str">
        <x:v>coach_contact_completed</x:v>
      </x:c>
      <x:c r="D702" s="51" t="n">
        <x:v>46253</x:v>
      </x:c>
    </x:row>
    <x:row r="703">
      <x:c r="A703" s="50" t="str">
        <x:v>EVT000700</x:v>
      </x:c>
      <x:c r="B703" s="50" t="str">
        <x:v>SYN0341</x:v>
      </x:c>
      <x:c r="C703" s="50" t="str">
        <x:v>coach_contact_completed</x:v>
      </x:c>
      <x:c r="D703" s="51" t="n">
        <x:v>46079</x:v>
      </x:c>
    </x:row>
    <x:row r="704">
      <x:c r="A704" s="50" t="str">
        <x:v>EVT000701</x:v>
      </x:c>
      <x:c r="B704" s="50" t="str">
        <x:v>SYN0341</x:v>
      </x:c>
      <x:c r="C704" s="50" t="str">
        <x:v>day30_checkin_completed</x:v>
      </x:c>
      <x:c r="D704" s="51" t="n">
        <x:v>46110</x:v>
      </x:c>
    </x:row>
    <x:row r="705">
      <x:c r="A705" s="50" t="str">
        <x:v>EVT000702</x:v>
      </x:c>
      <x:c r="B705" s="50" t="str">
        <x:v>SYN0341</x:v>
      </x:c>
      <x:c r="C705" s="50" t="str">
        <x:v>day60_activity_observed</x:v>
      </x:c>
      <x:c r="D705" s="51" t="n">
        <x:v>46142</x:v>
      </x:c>
    </x:row>
    <x:row r="706">
      <x:c r="A706" s="50" t="str">
        <x:v>EVT000703</x:v>
      </x:c>
      <x:c r="B706" s="50" t="str">
        <x:v>SYN0342</x:v>
      </x:c>
      <x:c r="C706" s="50" t="str">
        <x:v>coach_contact_completed</x:v>
      </x:c>
      <x:c r="D706" s="51" t="n">
        <x:v>46255</x:v>
      </x:c>
    </x:row>
    <x:row r="707">
      <x:c r="A707" s="50" t="str">
        <x:v>EVT000704</x:v>
      </x:c>
      <x:c r="B707" s="50" t="str">
        <x:v>SYN0342</x:v>
      </x:c>
      <x:c r="C707" s="50" t="str">
        <x:v>day30_checkin_completed</x:v>
      </x:c>
      <x:c r="D707" s="51" t="n">
        <x:v>46291</x:v>
      </x:c>
    </x:row>
    <x:row r="708">
      <x:c r="A708" s="50" t="str">
        <x:v>EVT000705</x:v>
      </x:c>
      <x:c r="B708" s="50" t="str">
        <x:v>SYN0343</x:v>
      </x:c>
      <x:c r="C708" s="50" t="str">
        <x:v>coach_contact_completed</x:v>
      </x:c>
      <x:c r="D708" s="51" t="n">
        <x:v>46169</x:v>
      </x:c>
    </x:row>
    <x:row r="709">
      <x:c r="A709" s="50" t="str">
        <x:v>EVT000706</x:v>
      </x:c>
      <x:c r="B709" s="50" t="str">
        <x:v>SYN0343</x:v>
      </x:c>
      <x:c r="C709" s="50" t="str">
        <x:v>day30_checkin_completed</x:v>
      </x:c>
      <x:c r="D709" s="51" t="n">
        <x:v>46198</x:v>
      </x:c>
    </x:row>
    <x:row r="710">
      <x:c r="A710" s="50" t="str">
        <x:v>EVT000707</x:v>
      </x:c>
      <x:c r="B710" s="50" t="str">
        <x:v>SYN0343</x:v>
      </x:c>
      <x:c r="C710" s="50" t="str">
        <x:v>day60_activity_observed</x:v>
      </x:c>
      <x:c r="D710" s="51" t="n">
        <x:v>46231</x:v>
      </x:c>
    </x:row>
    <x:row r="711">
      <x:c r="A711" s="50" t="str">
        <x:v>EVT000708</x:v>
      </x:c>
      <x:c r="B711" s="50" t="str">
        <x:v>SYN0344</x:v>
      </x:c>
      <x:c r="C711" s="50" t="str">
        <x:v>coach_contact_completed</x:v>
      </x:c>
      <x:c r="D711" s="51" t="n">
        <x:v>46207</x:v>
      </x:c>
    </x:row>
    <x:row r="712">
      <x:c r="A712" s="50" t="str">
        <x:v>EVT000709</x:v>
      </x:c>
      <x:c r="B712" s="50" t="str">
        <x:v>SYN0344</x:v>
      </x:c>
      <x:c r="C712" s="50" t="str">
        <x:v>day30_checkin_completed</x:v>
      </x:c>
      <x:c r="D712" s="51" t="n">
        <x:v>46237</x:v>
      </x:c>
    </x:row>
    <x:row r="713">
      <x:c r="A713" s="50" t="str">
        <x:v>EVT000710</x:v>
      </x:c>
      <x:c r="B713" s="50" t="str">
        <x:v>SYN0345</x:v>
      </x:c>
      <x:c r="C713" s="50" t="str">
        <x:v>coach_contact_completed</x:v>
      </x:c>
      <x:c r="D713" s="51" t="n">
        <x:v>46109</x:v>
      </x:c>
    </x:row>
    <x:row r="714">
      <x:c r="A714" s="50" t="str">
        <x:v>EVT000711</x:v>
      </x:c>
      <x:c r="B714" s="50" t="str">
        <x:v>SYN0345</x:v>
      </x:c>
      <x:c r="C714" s="50" t="str">
        <x:v>day30_checkin_completed</x:v>
      </x:c>
      <x:c r="D714" s="51" t="n">
        <x:v>46132</x:v>
      </x:c>
    </x:row>
    <x:row r="715">
      <x:c r="A715" s="50" t="str">
        <x:v>EVT000712</x:v>
      </x:c>
      <x:c r="B715" s="50" t="str">
        <x:v>SYN0346</x:v>
      </x:c>
      <x:c r="C715" s="50" t="str">
        <x:v>day30_checkin_completed</x:v>
      </x:c>
      <x:c r="D715" s="51" t="n">
        <x:v>46114</x:v>
      </x:c>
    </x:row>
    <x:row r="716">
      <x:c r="A716" s="50" t="str">
        <x:v>EVT000713</x:v>
      </x:c>
      <x:c r="B716" s="50" t="str">
        <x:v>SYN0346</x:v>
      </x:c>
      <x:c r="C716" s="50" t="str">
        <x:v>day60_activity_observed</x:v>
      </x:c>
      <x:c r="D716" s="51" t="n">
        <x:v>46141</x:v>
      </x:c>
    </x:row>
    <x:row r="717">
      <x:c r="A717" s="50" t="str">
        <x:v>EVT000714</x:v>
      </x:c>
      <x:c r="B717" s="50" t="str">
        <x:v>SYN0347</x:v>
      </x:c>
      <x:c r="C717" s="50" t="str">
        <x:v>coach_contact_completed</x:v>
      </x:c>
      <x:c r="D717" s="51" t="n">
        <x:v>46269</x:v>
      </x:c>
    </x:row>
    <x:row r="718">
      <x:c r="A718" s="50" t="str">
        <x:v>EVT000715</x:v>
      </x:c>
      <x:c r="B718" s="50" t="str">
        <x:v>SYN0348</x:v>
      </x:c>
      <x:c r="C718" s="50" t="str">
        <x:v>coach_contact_completed</x:v>
      </x:c>
      <x:c r="D718" s="51" t="n">
        <x:v>46110</x:v>
      </x:c>
    </x:row>
    <x:row r="719">
      <x:c r="A719" s="50" t="str">
        <x:v>EVT000716</x:v>
      </x:c>
      <x:c r="B719" s="50" t="str">
        <x:v>SYN0348</x:v>
      </x:c>
      <x:c r="C719" s="50" t="str">
        <x:v>day30_checkin_completed</x:v>
      </x:c>
      <x:c r="D719" s="51" t="n">
        <x:v>46137</x:v>
      </x:c>
    </x:row>
    <x:row r="720">
      <x:c r="A720" s="50" t="str">
        <x:v>EVT000717</x:v>
      </x:c>
      <x:c r="B720" s="50" t="str">
        <x:v>SYN0348</x:v>
      </x:c>
      <x:c r="C720" s="50" t="str">
        <x:v>day60_activity_observed</x:v>
      </x:c>
      <x:c r="D720" s="51" t="n">
        <x:v>46170</x:v>
      </x:c>
    </x:row>
    <x:row r="721">
      <x:c r="A721" s="50" t="str">
        <x:v>EVT000718</x:v>
      </x:c>
      <x:c r="B721" s="50" t="str">
        <x:v>SYN0349</x:v>
      </x:c>
      <x:c r="C721" s="50" t="str">
        <x:v>coach_contact_completed</x:v>
      </x:c>
      <x:c r="D721" s="51" t="n">
        <x:v>46151</x:v>
      </x:c>
    </x:row>
    <x:row r="722">
      <x:c r="A722" s="50" t="str">
        <x:v>EVT000719</x:v>
      </x:c>
      <x:c r="B722" s="50" t="str">
        <x:v>SYN0349</x:v>
      </x:c>
      <x:c r="C722" s="50" t="str">
        <x:v>day30_checkin_completed</x:v>
      </x:c>
      <x:c r="D722" s="51" t="n">
        <x:v>46178</x:v>
      </x:c>
    </x:row>
    <x:row r="723">
      <x:c r="A723" s="50" t="str">
        <x:v>EVT000720</x:v>
      </x:c>
      <x:c r="B723" s="50" t="str">
        <x:v>SYN0350</x:v>
      </x:c>
      <x:c r="C723" s="50" t="str">
        <x:v>coach_contact_completed</x:v>
      </x:c>
      <x:c r="D723" s="51" t="n">
        <x:v>46074</x:v>
      </x:c>
    </x:row>
    <x:row r="724">
      <x:c r="A724" s="50" t="str">
        <x:v>EVT000721</x:v>
      </x:c>
      <x:c r="B724" s="50" t="str">
        <x:v>SYN0350</x:v>
      </x:c>
      <x:c r="C724" s="50" t="str">
        <x:v>day60_activity_observed</x:v>
      </x:c>
      <x:c r="D724" s="51" t="n">
        <x:v>46140</x:v>
      </x:c>
    </x:row>
    <x:row r="725">
      <x:c r="A725" s="50" t="str">
        <x:v>EVT000722</x:v>
      </x:c>
      <x:c r="B725" s="50" t="str">
        <x:v>SYN0351</x:v>
      </x:c>
      <x:c r="C725" s="50" t="str">
        <x:v>day60_activity_observed</x:v>
      </x:c>
      <x:c r="D725" s="51" t="n">
        <x:v>46136</x:v>
      </x:c>
    </x:row>
    <x:row r="726">
      <x:c r="A726" s="50" t="str">
        <x:v>EVT000723</x:v>
      </x:c>
      <x:c r="B726" s="50" t="str">
        <x:v>SYN0352</x:v>
      </x:c>
      <x:c r="C726" s="50" t="str">
        <x:v>coach_contact_completed</x:v>
      </x:c>
      <x:c r="D726" s="51" t="n">
        <x:v>46089</x:v>
      </x:c>
    </x:row>
    <x:row r="727">
      <x:c r="A727" s="50" t="str">
        <x:v>EVT000724</x:v>
      </x:c>
      <x:c r="B727" s="50" t="str">
        <x:v>SYN0352</x:v>
      </x:c>
      <x:c r="C727" s="50" t="str">
        <x:v>day30_checkin_completed</x:v>
      </x:c>
      <x:c r="D727" s="51" t="n">
        <x:v>46112</x:v>
      </x:c>
    </x:row>
    <x:row r="728">
      <x:c r="A728" s="50" t="str">
        <x:v>EVT000725</x:v>
      </x:c>
      <x:c r="B728" s="50" t="str">
        <x:v>SYN0352</x:v>
      </x:c>
      <x:c r="C728" s="50" t="str">
        <x:v>day60_activity_observed</x:v>
      </x:c>
      <x:c r="D728" s="51" t="n">
        <x:v>46149</x:v>
      </x:c>
    </x:row>
    <x:row r="729">
      <x:c r="A729" s="50" t="str">
        <x:v>EVT000726</x:v>
      </x:c>
      <x:c r="B729" s="50" t="str">
        <x:v>SYN0353</x:v>
      </x:c>
      <x:c r="C729" s="50" t="str">
        <x:v>coach_contact_completed</x:v>
      </x:c>
      <x:c r="D729" s="51" t="n">
        <x:v>46099</x:v>
      </x:c>
    </x:row>
    <x:row r="730">
      <x:c r="A730" s="50" t="str">
        <x:v>EVT000727</x:v>
      </x:c>
      <x:c r="B730" s="50" t="str">
        <x:v>SYN0353</x:v>
      </x:c>
      <x:c r="C730" s="50" t="str">
        <x:v>day30_checkin_completed</x:v>
      </x:c>
      <x:c r="D730" s="51" t="n">
        <x:v>46121</x:v>
      </x:c>
    </x:row>
    <x:row r="731">
      <x:c r="A731" s="50" t="str">
        <x:v>EVT000728</x:v>
      </x:c>
      <x:c r="B731" s="50" t="str">
        <x:v>SYN0354</x:v>
      </x:c>
      <x:c r="C731" s="50" t="str">
        <x:v>coach_contact_completed</x:v>
      </x:c>
      <x:c r="D731" s="51" t="n">
        <x:v>46090</x:v>
      </x:c>
    </x:row>
    <x:row r="732">
      <x:c r="A732" s="50" t="str">
        <x:v>EVT000729</x:v>
      </x:c>
      <x:c r="B732" s="50" t="str">
        <x:v>SYN0354</x:v>
      </x:c>
      <x:c r="C732" s="50" t="str">
        <x:v>day30_checkin_completed</x:v>
      </x:c>
      <x:c r="D732" s="51" t="n">
        <x:v>46119</x:v>
      </x:c>
    </x:row>
    <x:row r="733">
      <x:c r="A733" s="50" t="str">
        <x:v>EVT000730</x:v>
      </x:c>
      <x:c r="B733" s="50" t="str">
        <x:v>SYN0354</x:v>
      </x:c>
      <x:c r="C733" s="50" t="str">
        <x:v>day60_activity_observed</x:v>
      </x:c>
      <x:c r="D733" s="51" t="n">
        <x:v>46146</x:v>
      </x:c>
    </x:row>
    <x:row r="734">
      <x:c r="A734" s="50" t="str">
        <x:v>EVT000731</x:v>
      </x:c>
      <x:c r="B734" s="50" t="str">
        <x:v>SYN0355</x:v>
      </x:c>
      <x:c r="C734" s="50" t="str">
        <x:v>coach_contact_completed</x:v>
      </x:c>
      <x:c r="D734" s="51" t="n">
        <x:v>46160</x:v>
      </x:c>
    </x:row>
    <x:row r="735">
      <x:c r="A735" s="50" t="str">
        <x:v>EVT000732</x:v>
      </x:c>
      <x:c r="B735" s="50" t="str">
        <x:v>SYN0355</x:v>
      </x:c>
      <x:c r="C735" s="50" t="str">
        <x:v>day30_checkin_completed</x:v>
      </x:c>
      <x:c r="D735" s="51" t="n">
        <x:v>46195</x:v>
      </x:c>
    </x:row>
    <x:row r="736">
      <x:c r="A736" s="50" t="str">
        <x:v>EVT000733</x:v>
      </x:c>
      <x:c r="B736" s="50" t="str">
        <x:v>SYN0356</x:v>
      </x:c>
      <x:c r="C736" s="50" t="str">
        <x:v>coach_contact_completed</x:v>
      </x:c>
      <x:c r="D736" s="51" t="n">
        <x:v>46240</x:v>
      </x:c>
    </x:row>
    <x:row r="737">
      <x:c r="A737" s="50" t="str">
        <x:v>EVT000734</x:v>
      </x:c>
      <x:c r="B737" s="50" t="str">
        <x:v>SYN0357</x:v>
      </x:c>
      <x:c r="C737" s="50" t="str">
        <x:v>coach_contact_completed</x:v>
      </x:c>
      <x:c r="D737" s="51" t="n">
        <x:v>46229</x:v>
      </x:c>
    </x:row>
    <x:row r="738">
      <x:c r="A738" s="50" t="str">
        <x:v>EVT000735</x:v>
      </x:c>
      <x:c r="B738" s="50" t="str">
        <x:v>SYN0357</x:v>
      </x:c>
      <x:c r="C738" s="50" t="str">
        <x:v>day30_checkin_completed</x:v>
      </x:c>
      <x:c r="D738" s="51" t="n">
        <x:v>46258</x:v>
      </x:c>
    </x:row>
    <x:row r="739">
      <x:c r="A739" s="50" t="str">
        <x:v>EVT000736</x:v>
      </x:c>
      <x:c r="B739" s="50" t="str">
        <x:v>SYN0358</x:v>
      </x:c>
      <x:c r="C739" s="50" t="str">
        <x:v>coach_contact_completed</x:v>
      </x:c>
      <x:c r="D739" s="51" t="n">
        <x:v>46215</x:v>
      </x:c>
    </x:row>
    <x:row r="740">
      <x:c r="A740" s="50" t="str">
        <x:v>EVT000737</x:v>
      </x:c>
      <x:c r="B740" s="50" t="str">
        <x:v>SYN0358</x:v>
      </x:c>
      <x:c r="C740" s="50" t="str">
        <x:v>day60_activity_observed</x:v>
      </x:c>
      <x:c r="D740" s="51" t="n">
        <x:v>46282</x:v>
      </x:c>
    </x:row>
    <x:row r="741">
      <x:c r="A741" s="50" t="str">
        <x:v>EVT000738</x:v>
      </x:c>
      <x:c r="B741" s="50" t="str">
        <x:v>SYN0359</x:v>
      </x:c>
      <x:c r="C741" s="50" t="str">
        <x:v>day30_checkin_completed</x:v>
      </x:c>
      <x:c r="D741" s="51" t="n">
        <x:v>46166</x:v>
      </x:c>
    </x:row>
    <x:row r="742">
      <x:c r="A742" s="50" t="str">
        <x:v>EVT000739</x:v>
      </x:c>
      <x:c r="B742" s="50" t="str">
        <x:v>SYN0359</x:v>
      </x:c>
      <x:c r="C742" s="50" t="str">
        <x:v>day60_activity_observed</x:v>
      </x:c>
      <x:c r="D742" s="51" t="n">
        <x:v>46201</x:v>
      </x:c>
    </x:row>
    <x:row r="743">
      <x:c r="A743" s="50" t="str">
        <x:v>EVT000740</x:v>
      </x:c>
      <x:c r="B743" s="50" t="str">
        <x:v>SYN0360</x:v>
      </x:c>
      <x:c r="C743" s="50" t="str">
        <x:v>coach_contact_completed</x:v>
      </x:c>
      <x:c r="D743" s="51" t="n">
        <x:v>46250</x:v>
      </x:c>
    </x:row>
    <x:row r="744">
      <x:c r="A744" s="50" t="str">
        <x:v>EVT000741</x:v>
      </x:c>
      <x:c r="B744" s="50" t="str">
        <x:v>SYN0361</x:v>
      </x:c>
      <x:c r="C744" s="50" t="str">
        <x:v>coach_contact_completed</x:v>
      </x:c>
      <x:c r="D744" s="51" t="n">
        <x:v>46180</x:v>
      </x:c>
    </x:row>
    <x:row r="745">
      <x:c r="A745" s="50" t="str">
        <x:v>EVT000742</x:v>
      </x:c>
      <x:c r="B745" s="50" t="str">
        <x:v>SYN0361</x:v>
      </x:c>
      <x:c r="C745" s="50" t="str">
        <x:v>day60_activity_observed</x:v>
      </x:c>
      <x:c r="D745" s="51" t="n">
        <x:v>46238</x:v>
      </x:c>
    </x:row>
    <x:row r="746">
      <x:c r="A746" s="50" t="str">
        <x:v>EVT000743</x:v>
      </x:c>
      <x:c r="B746" s="50" t="str">
        <x:v>SYN0362</x:v>
      </x:c>
      <x:c r="C746" s="50" t="str">
        <x:v>coach_contact_completed</x:v>
      </x:c>
      <x:c r="D746" s="51" t="n">
        <x:v>46100</x:v>
      </x:c>
    </x:row>
    <x:row r="747">
      <x:c r="A747" s="50" t="str">
        <x:v>EVT000744</x:v>
      </x:c>
      <x:c r="B747" s="50" t="str">
        <x:v>SYN0362</x:v>
      </x:c>
      <x:c r="C747" s="50" t="str">
        <x:v>day30_checkin_completed</x:v>
      </x:c>
      <x:c r="D747" s="51" t="n">
        <x:v>46134</x:v>
      </x:c>
    </x:row>
    <x:row r="748">
      <x:c r="A748" s="50" t="str">
        <x:v>EVT000745</x:v>
      </x:c>
      <x:c r="B748" s="50" t="str">
        <x:v>SYN0362</x:v>
      </x:c>
      <x:c r="C748" s="50" t="str">
        <x:v>day60_activity_observed</x:v>
      </x:c>
      <x:c r="D748" s="51" t="n">
        <x:v>46163</x:v>
      </x:c>
    </x:row>
    <x:row r="749">
      <x:c r="A749" s="50" t="str">
        <x:v>EVT000746</x:v>
      </x:c>
      <x:c r="B749" s="50" t="str">
        <x:v>SYN0364</x:v>
      </x:c>
      <x:c r="C749" s="50" t="str">
        <x:v>coach_contact_completed</x:v>
      </x:c>
      <x:c r="D749" s="51" t="n">
        <x:v>46238</x:v>
      </x:c>
    </x:row>
    <x:row r="750">
      <x:c r="A750" s="50" t="str">
        <x:v>EVT000747</x:v>
      </x:c>
      <x:c r="B750" s="50" t="str">
        <x:v>SYN0365</x:v>
      </x:c>
      <x:c r="C750" s="50" t="str">
        <x:v>coach_contact_completed</x:v>
      </x:c>
      <x:c r="D750" s="51" t="n">
        <x:v>46204</x:v>
      </x:c>
    </x:row>
    <x:row r="751">
      <x:c r="A751" s="50" t="str">
        <x:v>EVT000748</x:v>
      </x:c>
      <x:c r="B751" s="50" t="str">
        <x:v>SYN0365</x:v>
      </x:c>
      <x:c r="C751" s="50" t="str">
        <x:v>day30_checkin_completed</x:v>
      </x:c>
      <x:c r="D751" s="51" t="n">
        <x:v>46233</x:v>
      </x:c>
    </x:row>
    <x:row r="752">
      <x:c r="A752" s="50" t="str">
        <x:v>EVT000749</x:v>
      </x:c>
      <x:c r="B752" s="50" t="str">
        <x:v>SYN0365</x:v>
      </x:c>
      <x:c r="C752" s="50" t="str">
        <x:v>day60_activity_observed</x:v>
      </x:c>
      <x:c r="D752" s="51" t="n">
        <x:v>46274</x:v>
      </x:c>
    </x:row>
    <x:row r="753">
      <x:c r="A753" s="50" t="str">
        <x:v>EVT000750</x:v>
      </x:c>
      <x:c r="B753" s="50" t="str">
        <x:v>SYN0366</x:v>
      </x:c>
      <x:c r="C753" s="50" t="str">
        <x:v>coach_contact_completed</x:v>
      </x:c>
      <x:c r="D753" s="51" t="n">
        <x:v>46260</x:v>
      </x:c>
    </x:row>
    <x:row r="754">
      <x:c r="A754" s="50" t="str">
        <x:v>EVT000751</x:v>
      </x:c>
      <x:c r="B754" s="50" t="str">
        <x:v>SYN0367</x:v>
      </x:c>
      <x:c r="C754" s="50" t="str">
        <x:v>day30_checkin_completed</x:v>
      </x:c>
      <x:c r="D754" s="51" t="n">
        <x:v>46287</x:v>
      </x:c>
    </x:row>
    <x:row r="755">
      <x:c r="A755" s="50" t="str">
        <x:v>EVT000752</x:v>
      </x:c>
      <x:c r="B755" s="50" t="str">
        <x:v>SYN0368</x:v>
      </x:c>
      <x:c r="C755" s="50" t="str">
        <x:v>coach_contact_completed</x:v>
      </x:c>
      <x:c r="D755" s="51" t="n">
        <x:v>46060</x:v>
      </x:c>
    </x:row>
    <x:row r="756">
      <x:c r="A756" s="50" t="str">
        <x:v>EVT000753</x:v>
      </x:c>
      <x:c r="B756" s="50" t="str">
        <x:v>SYN0368</x:v>
      </x:c>
      <x:c r="C756" s="50" t="str">
        <x:v>day30_checkin_completed</x:v>
      </x:c>
      <x:c r="D756" s="51" t="n">
        <x:v>46086</x:v>
      </x:c>
    </x:row>
    <x:row r="757">
      <x:c r="A757" s="50" t="str">
        <x:v>EVT000754</x:v>
      </x:c>
      <x:c r="B757" s="50" t="str">
        <x:v>SYN0368</x:v>
      </x:c>
      <x:c r="C757" s="50" t="str">
        <x:v>day60_activity_observed</x:v>
      </x:c>
      <x:c r="D757" s="51" t="n">
        <x:v>46122</x:v>
      </x:c>
    </x:row>
    <x:row r="758">
      <x:c r="A758" s="50" t="str">
        <x:v>EVT000755</x:v>
      </x:c>
      <x:c r="B758" s="50" t="str">
        <x:v>SYN0369</x:v>
      </x:c>
      <x:c r="C758" s="50" t="str">
        <x:v>day30_checkin_completed</x:v>
      </x:c>
      <x:c r="D758" s="51" t="n">
        <x:v>46197</x:v>
      </x:c>
    </x:row>
    <x:row r="759">
      <x:c r="A759" s="50" t="str">
        <x:v>EVT000756</x:v>
      </x:c>
      <x:c r="B759" s="50" t="str">
        <x:v>SYN0371</x:v>
      </x:c>
      <x:c r="C759" s="50" t="str">
        <x:v>coach_contact_completed</x:v>
      </x:c>
      <x:c r="D759" s="51" t="n">
        <x:v>46267</x:v>
      </x:c>
    </x:row>
    <x:row r="760">
      <x:c r="A760" s="50" t="str">
        <x:v>EVT000757</x:v>
      </x:c>
      <x:c r="B760" s="50" t="str">
        <x:v>SYN0372</x:v>
      </x:c>
      <x:c r="C760" s="50" t="str">
        <x:v>coach_contact_completed</x:v>
      </x:c>
      <x:c r="D760" s="51" t="n">
        <x:v>46212</x:v>
      </x:c>
    </x:row>
    <x:row r="761">
      <x:c r="A761" s="50" t="str">
        <x:v>EVT000758</x:v>
      </x:c>
      <x:c r="B761" s="50" t="str">
        <x:v>SYN0372</x:v>
      </x:c>
      <x:c r="C761" s="50" t="str">
        <x:v>day30_checkin_completed</x:v>
      </x:c>
      <x:c r="D761" s="51" t="n">
        <x:v>46244</x:v>
      </x:c>
    </x:row>
    <x:row r="762">
      <x:c r="A762" s="50" t="str">
        <x:v>EVT000759</x:v>
      </x:c>
      <x:c r="B762" s="50" t="str">
        <x:v>SYN0372</x:v>
      </x:c>
      <x:c r="C762" s="50" t="str">
        <x:v>day60_activity_observed</x:v>
      </x:c>
      <x:c r="D762" s="51" t="n">
        <x:v>46278</x:v>
      </x:c>
    </x:row>
    <x:row r="763">
      <x:c r="A763" s="50" t="str">
        <x:v>EVT000760</x:v>
      </x:c>
      <x:c r="B763" s="50" t="str">
        <x:v>SYN0373</x:v>
      </x:c>
      <x:c r="C763" s="50" t="str">
        <x:v>coach_contact_completed</x:v>
      </x:c>
      <x:c r="D763" s="51" t="n">
        <x:v>46246</x:v>
      </x:c>
    </x:row>
    <x:row r="764">
      <x:c r="A764" s="50" t="str">
        <x:v>EVT000761</x:v>
      </x:c>
      <x:c r="B764" s="50" t="str">
        <x:v>SYN0373</x:v>
      </x:c>
      <x:c r="C764" s="50" t="str">
        <x:v>day30_checkin_completed</x:v>
      </x:c>
      <x:c r="D764" s="51" t="n">
        <x:v>46277</x:v>
      </x:c>
    </x:row>
    <x:row r="765">
      <x:c r="A765" s="50" t="str">
        <x:v>EVT000762</x:v>
      </x:c>
      <x:c r="B765" s="50" t="str">
        <x:v>SYN0374</x:v>
      </x:c>
      <x:c r="C765" s="50" t="str">
        <x:v>day30_checkin_completed</x:v>
      </x:c>
      <x:c r="D765" s="51" t="n">
        <x:v>46072</x:v>
      </x:c>
    </x:row>
    <x:row r="766">
      <x:c r="A766" s="50" t="str">
        <x:v>EVT000763</x:v>
      </x:c>
      <x:c r="B766" s="50" t="str">
        <x:v>SYN0374</x:v>
      </x:c>
      <x:c r="C766" s="50" t="str">
        <x:v>day60_activity_observed</x:v>
      </x:c>
      <x:c r="D766" s="51" t="n">
        <x:v>46097</x:v>
      </x:c>
    </x:row>
    <x:row r="767">
      <x:c r="A767" s="50" t="str">
        <x:v>EVT000764</x:v>
      </x:c>
      <x:c r="B767" s="50" t="str">
        <x:v>SYN0375</x:v>
      </x:c>
      <x:c r="C767" s="50" t="str">
        <x:v>coach_contact_completed</x:v>
      </x:c>
      <x:c r="D767" s="51" t="n">
        <x:v>46152</x:v>
      </x:c>
    </x:row>
    <x:row r="768">
      <x:c r="A768" s="50" t="str">
        <x:v>EVT000765</x:v>
      </x:c>
      <x:c r="B768" s="50" t="str">
        <x:v>SYN0375</x:v>
      </x:c>
      <x:c r="C768" s="50" t="str">
        <x:v>day30_checkin_completed</x:v>
      </x:c>
      <x:c r="D768" s="51" t="n">
        <x:v>46180</x:v>
      </x:c>
    </x:row>
    <x:row r="769">
      <x:c r="A769" s="50" t="str">
        <x:v>EVT000766</x:v>
      </x:c>
      <x:c r="B769" s="50" t="str">
        <x:v>SYN0376</x:v>
      </x:c>
      <x:c r="C769" s="50" t="str">
        <x:v>coach_contact_completed</x:v>
      </x:c>
      <x:c r="D769" s="51" t="n">
        <x:v>46238</x:v>
      </x:c>
    </x:row>
    <x:row r="770">
      <x:c r="A770" s="50" t="str">
        <x:v>EVT000767</x:v>
      </x:c>
      <x:c r="B770" s="50" t="str">
        <x:v>SYN0377</x:v>
      </x:c>
      <x:c r="C770" s="50" t="str">
        <x:v>coach_contact_completed</x:v>
      </x:c>
      <x:c r="D770" s="51" t="n">
        <x:v>46126</x:v>
      </x:c>
    </x:row>
    <x:row r="771">
      <x:c r="A771" s="50" t="str">
        <x:v>EVT000768</x:v>
      </x:c>
      <x:c r="B771" s="50" t="str">
        <x:v>SYN0377</x:v>
      </x:c>
      <x:c r="C771" s="50" t="str">
        <x:v>day30_checkin_completed</x:v>
      </x:c>
      <x:c r="D771" s="51" t="n">
        <x:v>46150</x:v>
      </x:c>
    </x:row>
    <x:row r="772">
      <x:c r="A772" s="50" t="str">
        <x:v>EVT000769</x:v>
      </x:c>
      <x:c r="B772" s="50" t="str">
        <x:v>SYN0378</x:v>
      </x:c>
      <x:c r="C772" s="50" t="str">
        <x:v>coach_contact_completed</x:v>
      </x:c>
      <x:c r="D772" s="51" t="n">
        <x:v>46218</x:v>
      </x:c>
    </x:row>
    <x:row r="773">
      <x:c r="A773" s="50" t="str">
        <x:v>EVT000770</x:v>
      </x:c>
      <x:c r="B773" s="50" t="str">
        <x:v>SYN0378</x:v>
      </x:c>
      <x:c r="C773" s="50" t="str">
        <x:v>day30_checkin_completed</x:v>
      </x:c>
      <x:c r="D773" s="51" t="n">
        <x:v>46254</x:v>
      </x:c>
    </x:row>
    <x:row r="774">
      <x:c r="A774" s="50" t="str">
        <x:v>EVT000771</x:v>
      </x:c>
      <x:c r="B774" s="50" t="str">
        <x:v>SYN0379</x:v>
      </x:c>
      <x:c r="C774" s="50" t="str">
        <x:v>day60_activity_observed</x:v>
      </x:c>
      <x:c r="D774" s="51" t="n">
        <x:v>46291</x:v>
      </x:c>
    </x:row>
    <x:row r="775">
      <x:c r="A775" s="50" t="str">
        <x:v>EVT000772</x:v>
      </x:c>
      <x:c r="B775" s="50" t="str">
        <x:v>SYN0381</x:v>
      </x:c>
      <x:c r="C775" s="50" t="str">
        <x:v>coach_contact_completed</x:v>
      </x:c>
      <x:c r="D775" s="51" t="n">
        <x:v>46165</x:v>
      </x:c>
    </x:row>
    <x:row r="776">
      <x:c r="A776" s="50" t="str">
        <x:v>EVT000773</x:v>
      </x:c>
      <x:c r="B776" s="50" t="str">
        <x:v>SYN0381</x:v>
      </x:c>
      <x:c r="C776" s="50" t="str">
        <x:v>day30_checkin_completed</x:v>
      </x:c>
      <x:c r="D776" s="51" t="n">
        <x:v>46184</x:v>
      </x:c>
    </x:row>
    <x:row r="777">
      <x:c r="A777" s="50" t="str">
        <x:v>EVT000774</x:v>
      </x:c>
      <x:c r="B777" s="50" t="str">
        <x:v>SYN0381</x:v>
      </x:c>
      <x:c r="C777" s="50" t="str">
        <x:v>day60_activity_observed</x:v>
      </x:c>
      <x:c r="D777" s="51" t="n">
        <x:v>46223</x:v>
      </x:c>
    </x:row>
    <x:row r="778">
      <x:c r="A778" s="50" t="str">
        <x:v>EVT000775</x:v>
      </x:c>
      <x:c r="B778" s="50" t="str">
        <x:v>SYN0382</x:v>
      </x:c>
      <x:c r="C778" s="50" t="str">
        <x:v>coach_contact_completed</x:v>
      </x:c>
      <x:c r="D778" s="51" t="n">
        <x:v>46255</x:v>
      </x:c>
    </x:row>
    <x:row r="779">
      <x:c r="A779" s="50" t="str">
        <x:v>EVT000776</x:v>
      </x:c>
      <x:c r="B779" s="50" t="str">
        <x:v>SYN0382</x:v>
      </x:c>
      <x:c r="C779" s="50" t="str">
        <x:v>day30_checkin_completed</x:v>
      </x:c>
      <x:c r="D779" s="51" t="n">
        <x:v>46288</x:v>
      </x:c>
    </x:row>
    <x:row r="780">
      <x:c r="A780" s="50" t="str">
        <x:v>EVT000777</x:v>
      </x:c>
      <x:c r="B780" s="50" t="str">
        <x:v>SYN0383</x:v>
      </x:c>
      <x:c r="C780" s="50" t="str">
        <x:v>coach_contact_completed</x:v>
      </x:c>
      <x:c r="D780" s="51" t="n">
        <x:v>46185</x:v>
      </x:c>
    </x:row>
    <x:row r="781">
      <x:c r="A781" s="50" t="str">
        <x:v>EVT000778</x:v>
      </x:c>
      <x:c r="B781" s="50" t="str">
        <x:v>SYN0383</x:v>
      </x:c>
      <x:c r="C781" s="50" t="str">
        <x:v>day30_checkin_completed</x:v>
      </x:c>
      <x:c r="D781" s="51" t="n">
        <x:v>46215</x:v>
      </x:c>
    </x:row>
    <x:row r="782">
      <x:c r="A782" s="50" t="str">
        <x:v>EVT000779</x:v>
      </x:c>
      <x:c r="B782" s="50" t="str">
        <x:v>SYN0384</x:v>
      </x:c>
      <x:c r="C782" s="50" t="str">
        <x:v>coach_contact_completed</x:v>
      </x:c>
      <x:c r="D782" s="51" t="n">
        <x:v>46052</x:v>
      </x:c>
    </x:row>
    <x:row r="783">
      <x:c r="A783" s="50" t="str">
        <x:v>EVT000780</x:v>
      </x:c>
      <x:c r="B783" s="50" t="str">
        <x:v>SYN0384</x:v>
      </x:c>
      <x:c r="C783" s="50" t="str">
        <x:v>day60_activity_observed</x:v>
      </x:c>
      <x:c r="D783" s="51" t="n">
        <x:v>46105</x:v>
      </x:c>
    </x:row>
    <x:row r="784">
      <x:c r="A784" s="50" t="str">
        <x:v>EVT000781</x:v>
      </x:c>
      <x:c r="B784" s="50" t="str">
        <x:v>SYN0385</x:v>
      </x:c>
      <x:c r="C784" s="50" t="str">
        <x:v>coach_contact_completed</x:v>
      </x:c>
      <x:c r="D784" s="51" t="n">
        <x:v>46078</x:v>
      </x:c>
    </x:row>
    <x:row r="785">
      <x:c r="A785" s="50" t="str">
        <x:v>EVT000782</x:v>
      </x:c>
      <x:c r="B785" s="50" t="str">
        <x:v>SYN0385</x:v>
      </x:c>
      <x:c r="C785" s="50" t="str">
        <x:v>day30_checkin_completed</x:v>
      </x:c>
      <x:c r="D785" s="51" t="n">
        <x:v>46101</x:v>
      </x:c>
    </x:row>
    <x:row r="786">
      <x:c r="A786" s="50" t="str">
        <x:v>EVT000783</x:v>
      </x:c>
      <x:c r="B786" s="50" t="str">
        <x:v>SYN0385</x:v>
      </x:c>
      <x:c r="C786" s="50" t="str">
        <x:v>day60_activity_observed</x:v>
      </x:c>
      <x:c r="D786" s="51" t="n">
        <x:v>46138</x:v>
      </x:c>
    </x:row>
    <x:row r="787">
      <x:c r="A787" s="50" t="str">
        <x:v>EVT000784</x:v>
      </x:c>
      <x:c r="B787" s="50" t="str">
        <x:v>SYN0386</x:v>
      </x:c>
      <x:c r="C787" s="50" t="str">
        <x:v>day60_activity_observed</x:v>
      </x:c>
      <x:c r="D787" s="51" t="n">
        <x:v>46114</x:v>
      </x:c>
    </x:row>
    <x:row r="788">
      <x:c r="A788" s="50" t="str">
        <x:v>EVT000785</x:v>
      </x:c>
      <x:c r="B788" s="50" t="str">
        <x:v>SYN0387</x:v>
      </x:c>
      <x:c r="C788" s="50" t="str">
        <x:v>coach_contact_completed</x:v>
      </x:c>
      <x:c r="D788" s="51" t="n">
        <x:v>46165</x:v>
      </x:c>
    </x:row>
    <x:row r="789">
      <x:c r="A789" s="50" t="str">
        <x:v>EVT000786</x:v>
      </x:c>
      <x:c r="B789" s="50" t="str">
        <x:v>SYN0387</x:v>
      </x:c>
      <x:c r="C789" s="50" t="str">
        <x:v>day30_checkin_completed</x:v>
      </x:c>
      <x:c r="D789" s="51" t="n">
        <x:v>46199</x:v>
      </x:c>
    </x:row>
    <x:row r="790">
      <x:c r="A790" s="50" t="str">
        <x:v>EVT000787</x:v>
      </x:c>
      <x:c r="B790" s="50" t="str">
        <x:v>SYN0387</x:v>
      </x:c>
      <x:c r="C790" s="50" t="str">
        <x:v>day60_activity_observed</x:v>
      </x:c>
      <x:c r="D790" s="51" t="n">
        <x:v>46229</x:v>
      </x:c>
    </x:row>
    <x:row r="791">
      <x:c r="A791" s="50" t="str">
        <x:v>EVT000788</x:v>
      </x:c>
      <x:c r="B791" s="50" t="str">
        <x:v>SYN0388</x:v>
      </x:c>
      <x:c r="C791" s="50" t="str">
        <x:v>day60_activity_observed</x:v>
      </x:c>
      <x:c r="D791" s="51" t="n">
        <x:v>46178</x:v>
      </x:c>
    </x:row>
    <x:row r="792">
      <x:c r="A792" s="50" t="str">
        <x:v>EVT000789</x:v>
      </x:c>
      <x:c r="B792" s="50" t="str">
        <x:v>SYN0389</x:v>
      </x:c>
      <x:c r="C792" s="50" t="str">
        <x:v>coach_contact_completed</x:v>
      </x:c>
      <x:c r="D792" s="51" t="n">
        <x:v>46087</x:v>
      </x:c>
    </x:row>
    <x:row r="793">
      <x:c r="A793" s="50" t="str">
        <x:v>EVT000790</x:v>
      </x:c>
      <x:c r="B793" s="50" t="str">
        <x:v>SYN0391</x:v>
      </x:c>
      <x:c r="C793" s="50" t="str">
        <x:v>coach_contact_completed</x:v>
      </x:c>
      <x:c r="D793" s="51" t="n">
        <x:v>46175</x:v>
      </x:c>
    </x:row>
    <x:row r="794">
      <x:c r="A794" s="50" t="str">
        <x:v>EVT000791</x:v>
      </x:c>
      <x:c r="B794" s="50" t="str">
        <x:v>SYN0391</x:v>
      </x:c>
      <x:c r="C794" s="50" t="str">
        <x:v>day30_checkin_completed</x:v>
      </x:c>
      <x:c r="D794" s="51" t="n">
        <x:v>46205</x:v>
      </x:c>
    </x:row>
    <x:row r="795">
      <x:c r="A795" s="50" t="str">
        <x:v>EVT000792</x:v>
      </x:c>
      <x:c r="B795" s="50" t="str">
        <x:v>SYN0392</x:v>
      </x:c>
      <x:c r="C795" s="50" t="str">
        <x:v>coach_contact_completed</x:v>
      </x:c>
      <x:c r="D795" s="51" t="n">
        <x:v>46067</x:v>
      </x:c>
    </x:row>
    <x:row r="796">
      <x:c r="A796" s="50" t="str">
        <x:v>EVT000793</x:v>
      </x:c>
      <x:c r="B796" s="50" t="str">
        <x:v>SYN0392</x:v>
      </x:c>
      <x:c r="C796" s="50" t="str">
        <x:v>day30_checkin_completed</x:v>
      </x:c>
      <x:c r="D796" s="51" t="n">
        <x:v>46095</x:v>
      </x:c>
    </x:row>
    <x:row r="797">
      <x:c r="A797" s="50" t="str">
        <x:v>EVT000794</x:v>
      </x:c>
      <x:c r="B797" s="50" t="str">
        <x:v>SYN0392</x:v>
      </x:c>
      <x:c r="C797" s="50" t="str">
        <x:v>day60_activity_observed</x:v>
      </x:c>
      <x:c r="D797" s="51" t="n">
        <x:v>46138</x:v>
      </x:c>
    </x:row>
    <x:row r="798">
      <x:c r="A798" s="50" t="str">
        <x:v>EVT000795</x:v>
      </x:c>
      <x:c r="B798" s="50" t="str">
        <x:v>SYN0394</x:v>
      </x:c>
      <x:c r="C798" s="50" t="str">
        <x:v>coach_contact_completed</x:v>
      </x:c>
      <x:c r="D798" s="51" t="n">
        <x:v>46258</x:v>
      </x:c>
    </x:row>
    <x:row r="799">
      <x:c r="A799" s="50" t="str">
        <x:v>EVT000796</x:v>
      </x:c>
      <x:c r="B799" s="50" t="str">
        <x:v>SYN0395</x:v>
      </x:c>
      <x:c r="C799" s="50" t="str">
        <x:v>coach_contact_completed</x:v>
      </x:c>
      <x:c r="D799" s="51" t="n">
        <x:v>46051</x:v>
      </x:c>
    </x:row>
    <x:row r="800">
      <x:c r="A800" s="50" t="str">
        <x:v>EVT000797</x:v>
      </x:c>
      <x:c r="B800" s="50" t="str">
        <x:v>SYN0395</x:v>
      </x:c>
      <x:c r="C800" s="50" t="str">
        <x:v>day30_checkin_completed</x:v>
      </x:c>
      <x:c r="D800" s="51" t="n">
        <x:v>46070</x:v>
      </x:c>
    </x:row>
    <x:row r="801">
      <x:c r="A801" s="50" t="str">
        <x:v>EVT000798</x:v>
      </x:c>
      <x:c r="B801" s="50" t="str">
        <x:v>SYN0396</x:v>
      </x:c>
      <x:c r="C801" s="50" t="str">
        <x:v>day30_checkin_completed</x:v>
      </x:c>
      <x:c r="D801" s="51" t="n">
        <x:v>46232</x:v>
      </x:c>
    </x:row>
    <x:row r="802">
      <x:c r="A802" s="50" t="str">
        <x:v>EVT000799</x:v>
      </x:c>
      <x:c r="B802" s="50" t="str">
        <x:v>SYN0396</x:v>
      </x:c>
      <x:c r="C802" s="50" t="str">
        <x:v>day60_activity_observed</x:v>
      </x:c>
      <x:c r="D802" s="51" t="n">
        <x:v>46271</x:v>
      </x:c>
    </x:row>
    <x:row r="803">
      <x:c r="A803" s="50" t="str">
        <x:v>EVT000800</x:v>
      </x:c>
      <x:c r="B803" s="50" t="str">
        <x:v>SYN0397</x:v>
      </x:c>
      <x:c r="C803" s="50" t="str">
        <x:v>coach_contact_completed</x:v>
      </x:c>
      <x:c r="D803" s="51" t="n">
        <x:v>46172</x:v>
      </x:c>
    </x:row>
    <x:row r="804">
      <x:c r="A804" s="50" t="str">
        <x:v>EVT000801</x:v>
      </x:c>
      <x:c r="B804" s="50" t="str">
        <x:v>SYN0397</x:v>
      </x:c>
      <x:c r="C804" s="50" t="str">
        <x:v>day30_checkin_completed</x:v>
      </x:c>
      <x:c r="D804" s="51" t="n">
        <x:v>46201</x:v>
      </x:c>
    </x:row>
    <x:row r="805">
      <x:c r="A805" s="50" t="str">
        <x:v>EVT000802</x:v>
      </x:c>
      <x:c r="B805" s="50" t="str">
        <x:v>SYN0397</x:v>
      </x:c>
      <x:c r="C805" s="50" t="str">
        <x:v>day60_activity_observed</x:v>
      </x:c>
      <x:c r="D805" s="51" t="n">
        <x:v>46233</x:v>
      </x:c>
    </x:row>
    <x:row r="806">
      <x:c r="A806" s="50" t="str">
        <x:v>EVT000803</x:v>
      </x:c>
      <x:c r="B806" s="50" t="str">
        <x:v>SYN0398</x:v>
      </x:c>
      <x:c r="C806" s="50" t="str">
        <x:v>coach_contact_completed</x:v>
      </x:c>
      <x:c r="D806" s="51" t="n">
        <x:v>46263</x:v>
      </x:c>
    </x:row>
    <x:row r="807">
      <x:c r="A807" s="50" t="str">
        <x:v>EVT000804</x:v>
      </x:c>
      <x:c r="B807" s="50" t="str">
        <x:v>SYN0398</x:v>
      </x:c>
      <x:c r="C807" s="50" t="str">
        <x:v>day30_checkin_completed</x:v>
      </x:c>
      <x:c r="D807" s="51" t="n">
        <x:v>46293</x:v>
      </x:c>
    </x:row>
    <x:row r="808">
      <x:c r="A808" s="50" t="str">
        <x:v>EVT000805</x:v>
      </x:c>
      <x:c r="B808" s="50" t="str">
        <x:v>SYN0399</x:v>
      </x:c>
      <x:c r="C808" s="50" t="str">
        <x:v>coach_contact_completed</x:v>
      </x:c>
      <x:c r="D808" s="51" t="n">
        <x:v>46176</x:v>
      </x:c>
    </x:row>
    <x:row r="809">
      <x:c r="A809" s="50" t="str">
        <x:v>EVT000806</x:v>
      </x:c>
      <x:c r="B809" s="50" t="str">
        <x:v>SYN0399</x:v>
      </x:c>
      <x:c r="C809" s="50" t="str">
        <x:v>day30_checkin_completed</x:v>
      </x:c>
      <x:c r="D809" s="51" t="n">
        <x:v>46200</x:v>
      </x:c>
    </x:row>
    <x:row r="810">
      <x:c r="A810" s="50" t="str">
        <x:v>EVT000807</x:v>
      </x:c>
      <x:c r="B810" s="50" t="str">
        <x:v>SYN0399</x:v>
      </x:c>
      <x:c r="C810" s="50" t="str">
        <x:v>day60_activity_observed</x:v>
      </x:c>
      <x:c r="D810" s="51" t="n">
        <x:v>46236</x:v>
      </x:c>
    </x:row>
    <x:row r="811">
      <x:c r="A811" s="50" t="str">
        <x:v>EVT000808</x:v>
      </x:c>
      <x:c r="B811" s="50" t="str">
        <x:v>SYN0400</x:v>
      </x:c>
      <x:c r="C811" s="50" t="str">
        <x:v>coach_contact_completed</x:v>
      </x:c>
      <x:c r="D811" s="51" t="n">
        <x:v>46251</x:v>
      </x:c>
    </x:row>
    <x:row r="812">
      <x:c r="A812" s="50" t="str">
        <x:v>EVT000809</x:v>
      </x:c>
      <x:c r="B812" s="50" t="str">
        <x:v>SYN0400</x:v>
      </x:c>
      <x:c r="C812" s="50" t="str">
        <x:v>day30_checkin_completed</x:v>
      </x:c>
      <x:c r="D812" s="51" t="n">
        <x:v>46284</x:v>
      </x:c>
    </x:row>
    <x:row r="813">
      <x:c r="A813" s="50" t="str">
        <x:v>EVT000810</x:v>
      </x:c>
      <x:c r="B813" s="50" t="str">
        <x:v>SYN0401</x:v>
      </x:c>
      <x:c r="C813" s="50" t="str">
        <x:v>coach_contact_completed</x:v>
      </x:c>
      <x:c r="D813" s="51" t="n">
        <x:v>46157</x:v>
      </x:c>
    </x:row>
    <x:row r="814">
      <x:c r="A814" s="50" t="str">
        <x:v>EVT000811</x:v>
      </x:c>
      <x:c r="B814" s="50" t="str">
        <x:v>SYN0401</x:v>
      </x:c>
      <x:c r="C814" s="50" t="str">
        <x:v>day30_checkin_completed</x:v>
      </x:c>
      <x:c r="D814" s="51" t="n">
        <x:v>46178</x:v>
      </x:c>
    </x:row>
    <x:row r="815">
      <x:c r="A815" s="50" t="str">
        <x:v>EVT000812</x:v>
      </x:c>
      <x:c r="B815" s="50" t="str">
        <x:v>SYN0402</x:v>
      </x:c>
      <x:c r="C815" s="50" t="str">
        <x:v>coach_contact_completed</x:v>
      </x:c>
      <x:c r="D815" s="51" t="n">
        <x:v>46111</x:v>
      </x:c>
    </x:row>
    <x:row r="816">
      <x:c r="A816" s="50" t="str">
        <x:v>EVT000813</x:v>
      </x:c>
      <x:c r="B816" s="50" t="str">
        <x:v>SYN0402</x:v>
      </x:c>
      <x:c r="C816" s="50" t="str">
        <x:v>day30_checkin_completed</x:v>
      </x:c>
      <x:c r="D816" s="51" t="n">
        <x:v>46133</x:v>
      </x:c>
    </x:row>
    <x:row r="817">
      <x:c r="A817" s="50" t="str">
        <x:v>EVT000814</x:v>
      </x:c>
      <x:c r="B817" s="50" t="str">
        <x:v>SYN0403</x:v>
      </x:c>
      <x:c r="C817" s="50" t="str">
        <x:v>day30_checkin_completed</x:v>
      </x:c>
      <x:c r="D817" s="51" t="n">
        <x:v>46290</x:v>
      </x:c>
    </x:row>
    <x:row r="818">
      <x:c r="A818" s="50" t="str">
        <x:v>EVT000815</x:v>
      </x:c>
      <x:c r="B818" s="50" t="str">
        <x:v>SYN0404</x:v>
      </x:c>
      <x:c r="C818" s="50" t="str">
        <x:v>coach_contact_completed</x:v>
      </x:c>
      <x:c r="D818" s="51" t="n">
        <x:v>46252</x:v>
      </x:c>
    </x:row>
    <x:row r="819">
      <x:c r="A819" s="50" t="str">
        <x:v>EVT000816</x:v>
      </x:c>
      <x:c r="B819" s="50" t="str">
        <x:v>SYN0405</x:v>
      </x:c>
      <x:c r="C819" s="50" t="str">
        <x:v>coach_contact_completed</x:v>
      </x:c>
      <x:c r="D819" s="51" t="n">
        <x:v>46070</x:v>
      </x:c>
    </x:row>
    <x:row r="820">
      <x:c r="A820" s="50" t="str">
        <x:v>EVT000817</x:v>
      </x:c>
      <x:c r="B820" s="50" t="str">
        <x:v>SYN0405</x:v>
      </x:c>
      <x:c r="C820" s="50" t="str">
        <x:v>day30_checkin_completed</x:v>
      </x:c>
      <x:c r="D820" s="51" t="n">
        <x:v>46092</x:v>
      </x:c>
    </x:row>
    <x:row r="821">
      <x:c r="A821" s="50" t="str">
        <x:v>EVT000818</x:v>
      </x:c>
      <x:c r="B821" s="50" t="str">
        <x:v>SYN0405</x:v>
      </x:c>
      <x:c r="C821" s="50" t="str">
        <x:v>day60_activity_observed</x:v>
      </x:c>
      <x:c r="D821" s="51" t="n">
        <x:v>46126</x:v>
      </x:c>
    </x:row>
    <x:row r="822">
      <x:c r="A822" s="50" t="str">
        <x:v>EVT000819</x:v>
      </x:c>
      <x:c r="B822" s="50" t="str">
        <x:v>SYN0406</x:v>
      </x:c>
      <x:c r="C822" s="50" t="str">
        <x:v>coach_contact_completed</x:v>
      </x:c>
      <x:c r="D822" s="51" t="n">
        <x:v>46119</x:v>
      </x:c>
    </x:row>
    <x:row r="823">
      <x:c r="A823" s="50" t="str">
        <x:v>EVT000820</x:v>
      </x:c>
      <x:c r="B823" s="50" t="str">
        <x:v>SYN0406</x:v>
      </x:c>
      <x:c r="C823" s="50" t="str">
        <x:v>day30_checkin_completed</x:v>
      </x:c>
      <x:c r="D823" s="51" t="n">
        <x:v>46150</x:v>
      </x:c>
    </x:row>
    <x:row r="824">
      <x:c r="A824" s="50" t="str">
        <x:v>EVT000821</x:v>
      </x:c>
      <x:c r="B824" s="50" t="str">
        <x:v>SYN0408</x:v>
      </x:c>
      <x:c r="C824" s="50" t="str">
        <x:v>coach_contact_completed</x:v>
      </x:c>
      <x:c r="D824" s="51" t="n">
        <x:v>46117</x:v>
      </x:c>
    </x:row>
    <x:row r="825">
      <x:c r="A825" s="50" t="str">
        <x:v>EVT000822</x:v>
      </x:c>
      <x:c r="B825" s="50" t="str">
        <x:v>SYN0408</x:v>
      </x:c>
      <x:c r="C825" s="50" t="str">
        <x:v>day60_activity_observed</x:v>
      </x:c>
      <x:c r="D825" s="51" t="n">
        <x:v>46187</x:v>
      </x:c>
    </x:row>
    <x:row r="826">
      <x:c r="A826" s="50" t="str">
        <x:v>EVT000823</x:v>
      </x:c>
      <x:c r="B826" s="50" t="str">
        <x:v>SYN0409</x:v>
      </x:c>
      <x:c r="C826" s="50" t="str">
        <x:v>coach_contact_completed</x:v>
      </x:c>
      <x:c r="D826" s="51" t="n">
        <x:v>46032</x:v>
      </x:c>
    </x:row>
    <x:row r="827">
      <x:c r="A827" s="50" t="str">
        <x:v>EVT000824</x:v>
      </x:c>
      <x:c r="B827" s="50" t="str">
        <x:v>SYN0409</x:v>
      </x:c>
      <x:c r="C827" s="50" t="str">
        <x:v>day30_checkin_completed</x:v>
      </x:c>
      <x:c r="D827" s="51" t="n">
        <x:v>46058</x:v>
      </x:c>
    </x:row>
    <x:row r="828">
      <x:c r="A828" s="50" t="str">
        <x:v>EVT000825</x:v>
      </x:c>
      <x:c r="B828" s="50" t="str">
        <x:v>SYN0410</x:v>
      </x:c>
      <x:c r="C828" s="50" t="str">
        <x:v>coach_contact_completed</x:v>
      </x:c>
      <x:c r="D828" s="51" t="n">
        <x:v>46228</x:v>
      </x:c>
    </x:row>
    <x:row r="829">
      <x:c r="A829" s="50" t="str">
        <x:v>EVT000826</x:v>
      </x:c>
      <x:c r="B829" s="50" t="str">
        <x:v>SYN0411</x:v>
      </x:c>
      <x:c r="C829" s="50" t="str">
        <x:v>coach_contact_completed</x:v>
      </x:c>
      <x:c r="D829" s="51" t="n">
        <x:v>46071</x:v>
      </x:c>
    </x:row>
    <x:row r="830">
      <x:c r="A830" s="50" t="str">
        <x:v>EVT000827</x:v>
      </x:c>
      <x:c r="B830" s="50" t="str">
        <x:v>SYN0412</x:v>
      </x:c>
      <x:c r="C830" s="50" t="str">
        <x:v>day60_activity_observed</x:v>
      </x:c>
      <x:c r="D830" s="51" t="n">
        <x:v>46294</x:v>
      </x:c>
    </x:row>
    <x:row r="831">
      <x:c r="A831" s="50" t="str">
        <x:v>EVT000828</x:v>
      </x:c>
      <x:c r="B831" s="50" t="str">
        <x:v>SYN0413</x:v>
      </x:c>
      <x:c r="C831" s="50" t="str">
        <x:v>coach_contact_completed</x:v>
      </x:c>
      <x:c r="D831" s="51" t="n">
        <x:v>46173</x:v>
      </x:c>
    </x:row>
    <x:row r="832">
      <x:c r="A832" s="50" t="str">
        <x:v>EVT000829</x:v>
      </x:c>
      <x:c r="B832" s="50" t="str">
        <x:v>SYN0413</x:v>
      </x:c>
      <x:c r="C832" s="50" t="str">
        <x:v>day30_checkin_completed</x:v>
      </x:c>
      <x:c r="D832" s="51" t="n">
        <x:v>46197</x:v>
      </x:c>
    </x:row>
    <x:row r="833">
      <x:c r="A833" s="50" t="str">
        <x:v>EVT000830</x:v>
      </x:c>
      <x:c r="B833" s="50" t="str">
        <x:v>SYN0413</x:v>
      </x:c>
      <x:c r="C833" s="50" t="str">
        <x:v>day60_activity_observed</x:v>
      </x:c>
      <x:c r="D833" s="51" t="n">
        <x:v>46232</x:v>
      </x:c>
    </x:row>
    <x:row r="834">
      <x:c r="A834" s="50" t="str">
        <x:v>EVT000831</x:v>
      </x:c>
      <x:c r="B834" s="50" t="str">
        <x:v>SYN0414</x:v>
      </x:c>
      <x:c r="C834" s="50" t="str">
        <x:v>coach_contact_completed</x:v>
      </x:c>
      <x:c r="D834" s="51" t="n">
        <x:v>46229</x:v>
      </x:c>
    </x:row>
    <x:row r="835">
      <x:c r="A835" s="50" t="str">
        <x:v>EVT000832</x:v>
      </x:c>
      <x:c r="B835" s="50" t="str">
        <x:v>SYN0414</x:v>
      </x:c>
      <x:c r="C835" s="50" t="str">
        <x:v>day60_activity_observed</x:v>
      </x:c>
      <x:c r="D835" s="51" t="n">
        <x:v>46289</x:v>
      </x:c>
    </x:row>
    <x:row r="836">
      <x:c r="A836" s="50" t="str">
        <x:v>EVT000833</x:v>
      </x:c>
      <x:c r="B836" s="50" t="str">
        <x:v>SYN0415</x:v>
      </x:c>
      <x:c r="C836" s="50" t="str">
        <x:v>coach_contact_completed</x:v>
      </x:c>
      <x:c r="D836" s="51" t="n">
        <x:v>46220</x:v>
      </x:c>
    </x:row>
    <x:row r="837">
      <x:c r="A837" s="50" t="str">
        <x:v>EVT000834</x:v>
      </x:c>
      <x:c r="B837" s="50" t="str">
        <x:v>SYN0415</x:v>
      </x:c>
      <x:c r="C837" s="50" t="str">
        <x:v>day60_activity_observed</x:v>
      </x:c>
      <x:c r="D837" s="51" t="n">
        <x:v>46278</x:v>
      </x:c>
    </x:row>
    <x:row r="838">
      <x:c r="A838" s="50" t="str">
        <x:v>EVT000835</x:v>
      </x:c>
      <x:c r="B838" s="50" t="str">
        <x:v>SYN0416</x:v>
      </x:c>
      <x:c r="C838" s="50" t="str">
        <x:v>coach_contact_completed</x:v>
      </x:c>
      <x:c r="D838" s="51" t="n">
        <x:v>46034</x:v>
      </x:c>
    </x:row>
    <x:row r="839">
      <x:c r="A839" s="50" t="str">
        <x:v>EVT000836</x:v>
      </x:c>
      <x:c r="B839" s="50" t="str">
        <x:v>SYN0416</x:v>
      </x:c>
      <x:c r="C839" s="50" t="str">
        <x:v>day30_checkin_completed</x:v>
      </x:c>
      <x:c r="D839" s="51" t="n">
        <x:v>46065</x:v>
      </x:c>
    </x:row>
    <x:row r="840">
      <x:c r="A840" s="50" t="str">
        <x:v>EVT000837</x:v>
      </x:c>
      <x:c r="B840" s="50" t="str">
        <x:v>SYN0417</x:v>
      </x:c>
      <x:c r="C840" s="50" t="str">
        <x:v>coach_contact_completed</x:v>
      </x:c>
      <x:c r="D840" s="51" t="n">
        <x:v>46255</x:v>
      </x:c>
    </x:row>
    <x:row r="841">
      <x:c r="A841" s="50" t="str">
        <x:v>EVT000838</x:v>
      </x:c>
      <x:c r="B841" s="50" t="str">
        <x:v>SYN0418</x:v>
      </x:c>
      <x:c r="C841" s="50" t="str">
        <x:v>coach_contact_completed</x:v>
      </x:c>
      <x:c r="D841" s="51" t="n">
        <x:v>46265</x:v>
      </x:c>
    </x:row>
    <x:row r="842">
      <x:c r="A842" s="50" t="str">
        <x:v>EVT000839</x:v>
      </x:c>
      <x:c r="B842" s="50" t="str">
        <x:v>SYN0418</x:v>
      </x:c>
      <x:c r="C842" s="50" t="str">
        <x:v>day30_checkin_completed</x:v>
      </x:c>
      <x:c r="D842" s="51" t="n">
        <x:v>46292</x:v>
      </x:c>
    </x:row>
    <x:row r="843">
      <x:c r="A843" s="50" t="str">
        <x:v>EVT000840</x:v>
      </x:c>
      <x:c r="B843" s="50" t="str">
        <x:v>SYN0419</x:v>
      </x:c>
      <x:c r="C843" s="50" t="str">
        <x:v>coach_contact_completed</x:v>
      </x:c>
      <x:c r="D843" s="51" t="n">
        <x:v>46251</x:v>
      </x:c>
    </x:row>
    <x:row r="844">
      <x:c r="A844" s="50" t="str">
        <x:v>EVT000841</x:v>
      </x:c>
      <x:c r="B844" s="50" t="str">
        <x:v>SYN0419</x:v>
      </x:c>
      <x:c r="C844" s="50" t="str">
        <x:v>day30_checkin_completed</x:v>
      </x:c>
      <x:c r="D844" s="51" t="n">
        <x:v>46274</x:v>
      </x:c>
    </x:row>
    <x:row r="845">
      <x:c r="A845" s="50" t="str">
        <x:v>EVT000842</x:v>
      </x:c>
      <x:c r="B845" s="50" t="str">
        <x:v>SYN0420</x:v>
      </x:c>
      <x:c r="C845" s="50" t="str">
        <x:v>coach_contact_completed</x:v>
      </x:c>
      <x:c r="D845" s="51" t="n">
        <x:v>46239</x:v>
      </x:c>
    </x:row>
    <x:row r="846">
      <x:c r="A846" s="50" t="str">
        <x:v>EVT000843</x:v>
      </x:c>
      <x:c r="B846" s="50" t="str">
        <x:v>SYN0420</x:v>
      </x:c>
      <x:c r="C846" s="50" t="str">
        <x:v>day30_checkin_completed</x:v>
      </x:c>
      <x:c r="D846" s="51" t="n">
        <x:v>46267</x:v>
      </x:c>
    </x:row>
    <x:row r="847">
      <x:c r="A847" s="50" t="str">
        <x:v>EVT000844</x:v>
      </x:c>
      <x:c r="B847" s="50" t="str">
        <x:v>SYN0421</x:v>
      </x:c>
      <x:c r="C847" s="50" t="str">
        <x:v>day30_checkin_completed</x:v>
      </x:c>
      <x:c r="D847" s="51" t="n">
        <x:v>46268</x:v>
      </x:c>
    </x:row>
    <x:row r="848">
      <x:c r="A848" s="50" t="str">
        <x:v>EVT000845</x:v>
      </x:c>
      <x:c r="B848" s="50" t="str">
        <x:v>SYN0422</x:v>
      </x:c>
      <x:c r="C848" s="50" t="str">
        <x:v>day30_checkin_completed</x:v>
      </x:c>
      <x:c r="D848" s="51" t="n">
        <x:v>46254</x:v>
      </x:c>
    </x:row>
    <x:row r="849">
      <x:c r="A849" s="50" t="str">
        <x:v>EVT000846</x:v>
      </x:c>
      <x:c r="B849" s="50" t="str">
        <x:v>SYN0423</x:v>
      </x:c>
      <x:c r="C849" s="50" t="str">
        <x:v>coach_contact_completed</x:v>
      </x:c>
      <x:c r="D849" s="51" t="n">
        <x:v>46117</x:v>
      </x:c>
    </x:row>
    <x:row r="850">
      <x:c r="A850" s="50" t="str">
        <x:v>EVT000847</x:v>
      </x:c>
      <x:c r="B850" s="50" t="str">
        <x:v>SYN0423</x:v>
      </x:c>
      <x:c r="C850" s="50" t="str">
        <x:v>day30_checkin_completed</x:v>
      </x:c>
      <x:c r="D850" s="51" t="n">
        <x:v>46152</x:v>
      </x:c>
    </x:row>
    <x:row r="851">
      <x:c r="A851" s="50" t="str">
        <x:v>EVT000848</x:v>
      </x:c>
      <x:c r="B851" s="50" t="str">
        <x:v>SYN0423</x:v>
      </x:c>
      <x:c r="C851" s="50" t="str">
        <x:v>day60_activity_observed</x:v>
      </x:c>
      <x:c r="D851" s="51" t="n">
        <x:v>46184</x:v>
      </x:c>
    </x:row>
    <x:row r="852">
      <x:c r="A852" s="50" t="str">
        <x:v>EVT000849</x:v>
      </x:c>
      <x:c r="B852" s="50" t="str">
        <x:v>SYN0424</x:v>
      </x:c>
      <x:c r="C852" s="50" t="str">
        <x:v>coach_contact_completed</x:v>
      </x:c>
      <x:c r="D852" s="51" t="n">
        <x:v>46245</x:v>
      </x:c>
    </x:row>
    <x:row r="853">
      <x:c r="A853" s="50" t="str">
        <x:v>EVT000850</x:v>
      </x:c>
      <x:c r="B853" s="50" t="str">
        <x:v>SYN0425</x:v>
      </x:c>
      <x:c r="C853" s="50" t="str">
        <x:v>coach_contact_completed</x:v>
      </x:c>
      <x:c r="D853" s="51" t="n">
        <x:v>46161</x:v>
      </x:c>
    </x:row>
    <x:row r="854">
      <x:c r="A854" s="50" t="str">
        <x:v>EVT000851</x:v>
      </x:c>
      <x:c r="B854" s="50" t="str">
        <x:v>SYN0425</x:v>
      </x:c>
      <x:c r="C854" s="50" t="str">
        <x:v>day30_checkin_completed</x:v>
      </x:c>
      <x:c r="D854" s="51" t="n">
        <x:v>46191</x:v>
      </x:c>
    </x:row>
    <x:row r="855">
      <x:c r="A855" s="50" t="str">
        <x:v>EVT000852</x:v>
      </x:c>
      <x:c r="B855" s="50" t="str">
        <x:v>SYN0425</x:v>
      </x:c>
      <x:c r="C855" s="50" t="str">
        <x:v>day60_activity_observed</x:v>
      </x:c>
      <x:c r="D855" s="51" t="n">
        <x:v>46225</x:v>
      </x:c>
    </x:row>
    <x:row r="856">
      <x:c r="A856" s="50" t="str">
        <x:v>EVT000853</x:v>
      </x:c>
      <x:c r="B856" s="50" t="str">
        <x:v>SYN0426</x:v>
      </x:c>
      <x:c r="C856" s="50" t="str">
        <x:v>coach_contact_completed</x:v>
      </x:c>
      <x:c r="D856" s="51" t="n">
        <x:v>46252</x:v>
      </x:c>
    </x:row>
    <x:row r="857">
      <x:c r="A857" s="50" t="str">
        <x:v>EVT000854</x:v>
      </x:c>
      <x:c r="B857" s="50" t="str">
        <x:v>SYN0426</x:v>
      </x:c>
      <x:c r="C857" s="50" t="str">
        <x:v>day30_checkin_completed</x:v>
      </x:c>
      <x:c r="D857" s="51" t="n">
        <x:v>46273</x:v>
      </x:c>
    </x:row>
    <x:row r="858">
      <x:c r="A858" s="50" t="str">
        <x:v>EVT000855</x:v>
      </x:c>
      <x:c r="B858" s="50" t="str">
        <x:v>SYN0427</x:v>
      </x:c>
      <x:c r="C858" s="50" t="str">
        <x:v>coach_contact_completed</x:v>
      </x:c>
      <x:c r="D858" s="51" t="n">
        <x:v>46114</x:v>
      </x:c>
    </x:row>
    <x:row r="859">
      <x:c r="A859" s="50" t="str">
        <x:v>EVT000856</x:v>
      </x:c>
      <x:c r="B859" s="50" t="str">
        <x:v>SYN0428</x:v>
      </x:c>
      <x:c r="C859" s="50" t="str">
        <x:v>coach_contact_completed</x:v>
      </x:c>
      <x:c r="D859" s="51" t="n">
        <x:v>46164</x:v>
      </x:c>
    </x:row>
    <x:row r="860">
      <x:c r="A860" s="50" t="str">
        <x:v>EVT000857</x:v>
      </x:c>
      <x:c r="B860" s="50" t="str">
        <x:v>SYN0428</x:v>
      </x:c>
      <x:c r="C860" s="50" t="str">
        <x:v>day30_checkin_completed</x:v>
      </x:c>
      <x:c r="D860" s="51" t="n">
        <x:v>46186</x:v>
      </x:c>
    </x:row>
    <x:row r="861">
      <x:c r="A861" s="50" t="str">
        <x:v>EVT000858</x:v>
      </x:c>
      <x:c r="B861" s="50" t="str">
        <x:v>SYN0428</x:v>
      </x:c>
      <x:c r="C861" s="50" t="str">
        <x:v>day60_activity_observed</x:v>
      </x:c>
      <x:c r="D861" s="51" t="n">
        <x:v>46214</x:v>
      </x:c>
    </x:row>
    <x:row r="862">
      <x:c r="A862" s="50" t="str">
        <x:v>EVT000859</x:v>
      </x:c>
      <x:c r="B862" s="50" t="str">
        <x:v>SYN0430</x:v>
      </x:c>
      <x:c r="C862" s="50" t="str">
        <x:v>day30_checkin_completed</x:v>
      </x:c>
      <x:c r="D862" s="51" t="n">
        <x:v>46260</x:v>
      </x:c>
    </x:row>
    <x:row r="863">
      <x:c r="A863" s="50" t="str">
        <x:v>EVT000860</x:v>
      </x:c>
      <x:c r="B863" s="50" t="str">
        <x:v>SYN0431</x:v>
      </x:c>
      <x:c r="C863" s="50" t="str">
        <x:v>coach_contact_completed</x:v>
      </x:c>
      <x:c r="D863" s="51" t="n">
        <x:v>46187</x:v>
      </x:c>
    </x:row>
    <x:row r="864">
      <x:c r="A864" s="50" t="str">
        <x:v>EVT000861</x:v>
      </x:c>
      <x:c r="B864" s="50" t="str">
        <x:v>SYN0431</x:v>
      </x:c>
      <x:c r="C864" s="50" t="str">
        <x:v>day30_checkin_completed</x:v>
      </x:c>
      <x:c r="D864" s="51" t="n">
        <x:v>46214</x:v>
      </x:c>
    </x:row>
    <x:row r="865">
      <x:c r="A865" s="50" t="str">
        <x:v>EVT000862</x:v>
      </x:c>
      <x:c r="B865" s="50" t="str">
        <x:v>SYN0431</x:v>
      </x:c>
      <x:c r="C865" s="50" t="str">
        <x:v>day60_activity_observed</x:v>
      </x:c>
      <x:c r="D865" s="51" t="n">
        <x:v>46260</x:v>
      </x:c>
    </x:row>
    <x:row r="866">
      <x:c r="A866" s="50" t="str">
        <x:v>EVT000863</x:v>
      </x:c>
      <x:c r="B866" s="50" t="str">
        <x:v>SYN0432</x:v>
      </x:c>
      <x:c r="C866" s="50" t="str">
        <x:v>coach_contact_completed</x:v>
      </x:c>
      <x:c r="D866" s="51" t="n">
        <x:v>46224</x:v>
      </x:c>
    </x:row>
    <x:row r="867">
      <x:c r="A867" s="50" t="str">
        <x:v>EVT000864</x:v>
      </x:c>
      <x:c r="B867" s="50" t="str">
        <x:v>SYN0432</x:v>
      </x:c>
      <x:c r="C867" s="50" t="str">
        <x:v>day30_checkin_completed</x:v>
      </x:c>
      <x:c r="D867" s="51" t="n">
        <x:v>46244</x:v>
      </x:c>
    </x:row>
    <x:row r="868">
      <x:c r="A868" s="50" t="str">
        <x:v>EVT000865</x:v>
      </x:c>
      <x:c r="B868" s="50" t="str">
        <x:v>SYN0433</x:v>
      </x:c>
      <x:c r="C868" s="50" t="str">
        <x:v>coach_contact_completed</x:v>
      </x:c>
      <x:c r="D868" s="51" t="n">
        <x:v>46183</x:v>
      </x:c>
    </x:row>
    <x:row r="869">
      <x:c r="A869" s="50" t="str">
        <x:v>EVT000866</x:v>
      </x:c>
      <x:c r="B869" s="50" t="str">
        <x:v>SYN0433</x:v>
      </x:c>
      <x:c r="C869" s="50" t="str">
        <x:v>day30_checkin_completed</x:v>
      </x:c>
      <x:c r="D869" s="51" t="n">
        <x:v>46205</x:v>
      </x:c>
    </x:row>
    <x:row r="870">
      <x:c r="A870" s="50" t="str">
        <x:v>EVT000867</x:v>
      </x:c>
      <x:c r="B870" s="50" t="str">
        <x:v>SYN0433</x:v>
      </x:c>
      <x:c r="C870" s="50" t="str">
        <x:v>day60_activity_observed</x:v>
      </x:c>
      <x:c r="D870" s="51" t="n">
        <x:v>46233</x:v>
      </x:c>
    </x:row>
    <x:row r="871">
      <x:c r="A871" s="50" t="str">
        <x:v>EVT000868</x:v>
      </x:c>
      <x:c r="B871" s="50" t="str">
        <x:v>SYN0434</x:v>
      </x:c>
      <x:c r="C871" s="50" t="str">
        <x:v>coach_contact_completed</x:v>
      </x:c>
      <x:c r="D871" s="51" t="n">
        <x:v>46176</x:v>
      </x:c>
    </x:row>
    <x:row r="872">
      <x:c r="A872" s="50" t="str">
        <x:v>EVT000869</x:v>
      </x:c>
      <x:c r="B872" s="50" t="str">
        <x:v>SYN0434</x:v>
      </x:c>
      <x:c r="C872" s="50" t="str">
        <x:v>day30_checkin_completed</x:v>
      </x:c>
      <x:c r="D872" s="51" t="n">
        <x:v>46206</x:v>
      </x:c>
    </x:row>
    <x:row r="873">
      <x:c r="A873" s="50" t="str">
        <x:v>EVT000870</x:v>
      </x:c>
      <x:c r="B873" s="50" t="str">
        <x:v>SYN0434</x:v>
      </x:c>
      <x:c r="C873" s="50" t="str">
        <x:v>day60_activity_observed</x:v>
      </x:c>
      <x:c r="D873" s="51" t="n">
        <x:v>46237</x:v>
      </x:c>
    </x:row>
    <x:row r="874">
      <x:c r="A874" s="50" t="str">
        <x:v>EVT000871</x:v>
      </x:c>
      <x:c r="B874" s="50" t="str">
        <x:v>SYN0435</x:v>
      </x:c>
      <x:c r="C874" s="50" t="str">
        <x:v>coach_contact_completed</x:v>
      </x:c>
      <x:c r="D874" s="51" t="n">
        <x:v>46246</x:v>
      </x:c>
    </x:row>
    <x:row r="875">
      <x:c r="A875" s="50" t="str">
        <x:v>EVT000872</x:v>
      </x:c>
      <x:c r="B875" s="50" t="str">
        <x:v>SYN0436</x:v>
      </x:c>
      <x:c r="C875" s="50" t="str">
        <x:v>coach_contact_completed</x:v>
      </x:c>
      <x:c r="D875" s="51" t="n">
        <x:v>46139</x:v>
      </x:c>
    </x:row>
    <x:row r="876">
      <x:c r="A876" s="50" t="str">
        <x:v>EVT000873</x:v>
      </x:c>
      <x:c r="B876" s="50" t="str">
        <x:v>SYN0436</x:v>
      </x:c>
      <x:c r="C876" s="50" t="str">
        <x:v>day30_checkin_completed</x:v>
      </x:c>
      <x:c r="D876" s="51" t="n">
        <x:v>46171</x:v>
      </x:c>
    </x:row>
    <x:row r="877">
      <x:c r="A877" s="50" t="str">
        <x:v>EVT000874</x:v>
      </x:c>
      <x:c r="B877" s="50" t="str">
        <x:v>SYN0436</x:v>
      </x:c>
      <x:c r="C877" s="50" t="str">
        <x:v>day60_activity_observed</x:v>
      </x:c>
      <x:c r="D877" s="51" t="n">
        <x:v>46208</x:v>
      </x:c>
    </x:row>
    <x:row r="878">
      <x:c r="A878" s="50" t="str">
        <x:v>EVT000875</x:v>
      </x:c>
      <x:c r="B878" s="50" t="str">
        <x:v>SYN0437</x:v>
      </x:c>
      <x:c r="C878" s="50" t="str">
        <x:v>coach_contact_completed</x:v>
      </x:c>
      <x:c r="D878" s="51" t="n">
        <x:v>46058</x:v>
      </x:c>
    </x:row>
    <x:row r="879">
      <x:c r="A879" s="50" t="str">
        <x:v>EVT000876</x:v>
      </x:c>
      <x:c r="B879" s="50" t="str">
        <x:v>SYN0437</x:v>
      </x:c>
      <x:c r="C879" s="50" t="str">
        <x:v>day30_checkin_completed</x:v>
      </x:c>
      <x:c r="D879" s="51" t="n">
        <x:v>46089</x:v>
      </x:c>
    </x:row>
    <x:row r="880">
      <x:c r="A880" s="50" t="str">
        <x:v>EVT000877</x:v>
      </x:c>
      <x:c r="B880" s="50" t="str">
        <x:v>SYN0438</x:v>
      </x:c>
      <x:c r="C880" s="50" t="str">
        <x:v>day60_activity_observed</x:v>
      </x:c>
      <x:c r="D880" s="51" t="n">
        <x:v>46248</x:v>
      </x:c>
    </x:row>
    <x:row r="881">
      <x:c r="A881" s="50" t="str">
        <x:v>EVT000878</x:v>
      </x:c>
      <x:c r="B881" s="50" t="str">
        <x:v>SYN0439</x:v>
      </x:c>
      <x:c r="C881" s="50" t="str">
        <x:v>coach_contact_completed</x:v>
      </x:c>
      <x:c r="D881" s="51" t="n">
        <x:v>46152</x:v>
      </x:c>
    </x:row>
    <x:row r="882">
      <x:c r="A882" s="50" t="str">
        <x:v>EVT000879</x:v>
      </x:c>
      <x:c r="B882" s="50" t="str">
        <x:v>SYN0439</x:v>
      </x:c>
      <x:c r="C882" s="50" t="str">
        <x:v>day30_checkin_completed</x:v>
      </x:c>
      <x:c r="D882" s="51" t="n">
        <x:v>46179</x:v>
      </x:c>
    </x:row>
    <x:row r="883">
      <x:c r="A883" s="50" t="str">
        <x:v>EVT000880</x:v>
      </x:c>
      <x:c r="B883" s="50" t="str">
        <x:v>SYN0440</x:v>
      </x:c>
      <x:c r="C883" s="50" t="str">
        <x:v>coach_contact_completed</x:v>
      </x:c>
      <x:c r="D883" s="51" t="n">
        <x:v>46148</x:v>
      </x:c>
    </x:row>
    <x:row r="884">
      <x:c r="A884" s="50" t="str">
        <x:v>EVT000881</x:v>
      </x:c>
      <x:c r="B884" s="50" t="str">
        <x:v>SYN0440</x:v>
      </x:c>
      <x:c r="C884" s="50" t="str">
        <x:v>day30_checkin_completed</x:v>
      </x:c>
      <x:c r="D884" s="51" t="n">
        <x:v>46168</x:v>
      </x:c>
    </x:row>
    <x:row r="885">
      <x:c r="A885" s="50" t="str">
        <x:v>EVT000882</x:v>
      </x:c>
      <x:c r="B885" s="50" t="str">
        <x:v>SYN0440</x:v>
      </x:c>
      <x:c r="C885" s="50" t="str">
        <x:v>day60_activity_observed</x:v>
      </x:c>
      <x:c r="D885" s="51" t="n">
        <x:v>46196</x:v>
      </x:c>
    </x:row>
    <x:row r="886">
      <x:c r="A886" s="50" t="str">
        <x:v>EVT000883</x:v>
      </x:c>
      <x:c r="B886" s="50" t="str">
        <x:v>SYN0441</x:v>
      </x:c>
      <x:c r="C886" s="50" t="str">
        <x:v>coach_contact_completed</x:v>
      </x:c>
      <x:c r="D886" s="51" t="n">
        <x:v>46206</x:v>
      </x:c>
    </x:row>
    <x:row r="887">
      <x:c r="A887" s="50" t="str">
        <x:v>EVT000884</x:v>
      </x:c>
      <x:c r="B887" s="50" t="str">
        <x:v>SYN0441</x:v>
      </x:c>
      <x:c r="C887" s="50" t="str">
        <x:v>day60_activity_observed</x:v>
      </x:c>
      <x:c r="D887" s="51" t="n">
        <x:v>46267</x:v>
      </x:c>
    </x:row>
    <x:row r="888">
      <x:c r="A888" s="50" t="str">
        <x:v>EVT000885</x:v>
      </x:c>
      <x:c r="B888" s="50" t="str">
        <x:v>SYN0442</x:v>
      </x:c>
      <x:c r="C888" s="50" t="str">
        <x:v>day60_activity_observed</x:v>
      </x:c>
      <x:c r="D888" s="51" t="n">
        <x:v>46276</x:v>
      </x:c>
    </x:row>
    <x:row r="889">
      <x:c r="A889" s="50" t="str">
        <x:v>EVT000886</x:v>
      </x:c>
      <x:c r="B889" s="50" t="str">
        <x:v>SYN0443</x:v>
      </x:c>
      <x:c r="C889" s="50" t="str">
        <x:v>coach_contact_completed</x:v>
      </x:c>
      <x:c r="D889" s="51" t="n">
        <x:v>46273</x:v>
      </x:c>
    </x:row>
    <x:row r="890">
      <x:c r="A890" s="50" t="str">
        <x:v>EVT000887</x:v>
      </x:c>
      <x:c r="B890" s="50" t="str">
        <x:v>SYN0444</x:v>
      </x:c>
      <x:c r="C890" s="50" t="str">
        <x:v>coach_contact_completed</x:v>
      </x:c>
      <x:c r="D890" s="51" t="n">
        <x:v>46128</x:v>
      </x:c>
    </x:row>
    <x:row r="891">
      <x:c r="A891" s="50" t="str">
        <x:v>EVT000888</x:v>
      </x:c>
      <x:c r="B891" s="50" t="str">
        <x:v>SYN0444</x:v>
      </x:c>
      <x:c r="C891" s="50" t="str">
        <x:v>day30_checkin_completed</x:v>
      </x:c>
      <x:c r="D891" s="51" t="n">
        <x:v>46157</x:v>
      </x:c>
    </x:row>
    <x:row r="892">
      <x:c r="A892" s="50" t="str">
        <x:v>EVT000889</x:v>
      </x:c>
      <x:c r="B892" s="50" t="str">
        <x:v>SYN0445</x:v>
      </x:c>
      <x:c r="C892" s="50" t="str">
        <x:v>coach_contact_completed</x:v>
      </x:c>
      <x:c r="D892" s="51" t="n">
        <x:v>46087</x:v>
      </x:c>
    </x:row>
    <x:row r="893">
      <x:c r="A893" s="50" t="str">
        <x:v>EVT000890</x:v>
      </x:c>
      <x:c r="B893" s="50" t="str">
        <x:v>SYN0445</x:v>
      </x:c>
      <x:c r="C893" s="50" t="str">
        <x:v>day30_checkin_completed</x:v>
      </x:c>
      <x:c r="D893" s="51" t="n">
        <x:v>46119</x:v>
      </x:c>
    </x:row>
    <x:row r="894">
      <x:c r="A894" s="50" t="str">
        <x:v>EVT000891</x:v>
      </x:c>
      <x:c r="B894" s="50" t="str">
        <x:v>SYN0445</x:v>
      </x:c>
      <x:c r="C894" s="50" t="str">
        <x:v>day60_activity_observed</x:v>
      </x:c>
      <x:c r="D894" s="51" t="n">
        <x:v>46154</x:v>
      </x:c>
    </x:row>
    <x:row r="895">
      <x:c r="A895" s="50" t="str">
        <x:v>EVT000892</x:v>
      </x:c>
      <x:c r="B895" s="50" t="str">
        <x:v>SYN0446</x:v>
      </x:c>
      <x:c r="C895" s="50" t="str">
        <x:v>coach_contact_completed</x:v>
      </x:c>
      <x:c r="D895" s="51" t="n">
        <x:v>46157</x:v>
      </x:c>
    </x:row>
    <x:row r="896">
      <x:c r="A896" s="50" t="str">
        <x:v>EVT000893</x:v>
      </x:c>
      <x:c r="B896" s="50" t="str">
        <x:v>SYN0446</x:v>
      </x:c>
      <x:c r="C896" s="50" t="str">
        <x:v>day30_checkin_completed</x:v>
      </x:c>
      <x:c r="D896" s="51" t="n">
        <x:v>46190</x:v>
      </x:c>
    </x:row>
    <x:row r="897">
      <x:c r="A897" s="50" t="str">
        <x:v>EVT000894</x:v>
      </x:c>
      <x:c r="B897" s="50" t="str">
        <x:v>SYN0446</x:v>
      </x:c>
      <x:c r="C897" s="50" t="str">
        <x:v>day60_activity_observed</x:v>
      </x:c>
      <x:c r="D897" s="51" t="n">
        <x:v>46223</x:v>
      </x:c>
    </x:row>
    <x:row r="898">
      <x:c r="A898" s="50" t="str">
        <x:v>EVT000895</x:v>
      </x:c>
      <x:c r="B898" s="50" t="str">
        <x:v>SYN0447</x:v>
      </x:c>
      <x:c r="C898" s="50" t="str">
        <x:v>day30_checkin_completed</x:v>
      </x:c>
      <x:c r="D898" s="51" t="n">
        <x:v>46213</x:v>
      </x:c>
    </x:row>
    <x:row r="899">
      <x:c r="A899" s="50" t="str">
        <x:v>EVT000896</x:v>
      </x:c>
      <x:c r="B899" s="50" t="str">
        <x:v>SYN0448</x:v>
      </x:c>
      <x:c r="C899" s="50" t="str">
        <x:v>coach_contact_completed</x:v>
      </x:c>
      <x:c r="D899" s="51" t="n">
        <x:v>46071</x:v>
      </x:c>
    </x:row>
    <x:row r="900">
      <x:c r="A900" s="50" t="str">
        <x:v>EVT000897</x:v>
      </x:c>
      <x:c r="B900" s="50" t="str">
        <x:v>SYN0448</x:v>
      </x:c>
      <x:c r="C900" s="50" t="str">
        <x:v>day30_checkin_completed</x:v>
      </x:c>
      <x:c r="D900" s="51" t="n">
        <x:v>46108</x:v>
      </x:c>
    </x:row>
    <x:row r="901">
      <x:c r="A901" s="50" t="str">
        <x:v>EVT000898</x:v>
      </x:c>
      <x:c r="B901" s="50" t="str">
        <x:v>SYN0448</x:v>
      </x:c>
      <x:c r="C901" s="50" t="str">
        <x:v>day60_activity_observed</x:v>
      </x:c>
      <x:c r="D901" s="51" t="n">
        <x:v>46143</x:v>
      </x:c>
    </x:row>
    <x:row r="902">
      <x:c r="A902" s="50" t="str">
        <x:v>EVT000899</x:v>
      </x:c>
      <x:c r="B902" s="50" t="str">
        <x:v>SYN0449</x:v>
      </x:c>
      <x:c r="C902" s="50" t="str">
        <x:v>coach_contact_completed</x:v>
      </x:c>
      <x:c r="D902" s="51" t="n">
        <x:v>46093</x:v>
      </x:c>
    </x:row>
    <x:row r="903">
      <x:c r="A903" s="50" t="str">
        <x:v>EVT000900</x:v>
      </x:c>
      <x:c r="B903" s="50" t="str">
        <x:v>SYN0450</x:v>
      </x:c>
      <x:c r="C903" s="50" t="str">
        <x:v>day30_checkin_completed</x:v>
      </x:c>
      <x:c r="D903" s="51" t="n">
        <x:v>46257</x:v>
      </x:c>
    </x:row>
    <x:row r="904">
      <x:c r="A904" s="50" t="str">
        <x:v>EVT000901</x:v>
      </x:c>
      <x:c r="B904" s="50" t="str">
        <x:v>SYN0451</x:v>
      </x:c>
      <x:c r="C904" s="50" t="str">
        <x:v>coach_contact_completed</x:v>
      </x:c>
      <x:c r="D904" s="51" t="n">
        <x:v>46210</x:v>
      </x:c>
    </x:row>
    <x:row r="905">
      <x:c r="A905" s="50" t="str">
        <x:v>EVT000902</x:v>
      </x:c>
      <x:c r="B905" s="50" t="str">
        <x:v>SYN0451</x:v>
      </x:c>
      <x:c r="C905" s="50" t="str">
        <x:v>day60_activity_observed</x:v>
      </x:c>
      <x:c r="D905" s="51" t="n">
        <x:v>46277</x:v>
      </x:c>
    </x:row>
    <x:row r="906">
      <x:c r="A906" s="50" t="str">
        <x:v>EVT000903</x:v>
      </x:c>
      <x:c r="B906" s="50" t="str">
        <x:v>SYN0452</x:v>
      </x:c>
      <x:c r="C906" s="50" t="str">
        <x:v>coach_contact_completed</x:v>
      </x:c>
      <x:c r="D906" s="51" t="n">
        <x:v>46080</x:v>
      </x:c>
    </x:row>
    <x:row r="907">
      <x:c r="A907" s="50" t="str">
        <x:v>EVT000904</x:v>
      </x:c>
      <x:c r="B907" s="50" t="str">
        <x:v>SYN0452</x:v>
      </x:c>
      <x:c r="C907" s="50" t="str">
        <x:v>day60_activity_observed</x:v>
      </x:c>
      <x:c r="D907" s="51" t="n">
        <x:v>46141</x:v>
      </x:c>
    </x:row>
    <x:row r="908">
      <x:c r="A908" s="50" t="str">
        <x:v>EVT000905</x:v>
      </x:c>
      <x:c r="B908" s="50" t="str">
        <x:v>SYN0453</x:v>
      </x:c>
      <x:c r="C908" s="50" t="str">
        <x:v>coach_contact_completed</x:v>
      </x:c>
      <x:c r="D908" s="51" t="n">
        <x:v>46158</x:v>
      </x:c>
    </x:row>
    <x:row r="909">
      <x:c r="A909" s="50" t="str">
        <x:v>EVT000906</x:v>
      </x:c>
      <x:c r="B909" s="50" t="str">
        <x:v>SYN0453</x:v>
      </x:c>
      <x:c r="C909" s="50" t="str">
        <x:v>day60_activity_observed</x:v>
      </x:c>
      <x:c r="D909" s="51" t="n">
        <x:v>46214</x:v>
      </x:c>
    </x:row>
    <x:row r="910">
      <x:c r="A910" s="50" t="str">
        <x:v>EVT000907</x:v>
      </x:c>
      <x:c r="B910" s="50" t="str">
        <x:v>SYN0454</x:v>
      </x:c>
      <x:c r="C910" s="50" t="str">
        <x:v>coach_contact_completed</x:v>
      </x:c>
      <x:c r="D910" s="51" t="n">
        <x:v>46164</x:v>
      </x:c>
    </x:row>
    <x:row r="911">
      <x:c r="A911" s="50" t="str">
        <x:v>EVT000908</x:v>
      </x:c>
      <x:c r="B911" s="50" t="str">
        <x:v>SYN0454</x:v>
      </x:c>
      <x:c r="C911" s="50" t="str">
        <x:v>day60_activity_observed</x:v>
      </x:c>
      <x:c r="D911" s="51" t="n">
        <x:v>46218</x:v>
      </x:c>
    </x:row>
    <x:row r="912">
      <x:c r="A912" s="50" t="str">
        <x:v>EVT000909</x:v>
      </x:c>
      <x:c r="B912" s="50" t="str">
        <x:v>SYN0456</x:v>
      </x:c>
      <x:c r="C912" s="50" t="str">
        <x:v>coach_contact_completed</x:v>
      </x:c>
      <x:c r="D912" s="51" t="n">
        <x:v>46173</x:v>
      </x:c>
    </x:row>
    <x:row r="913">
      <x:c r="A913" s="50" t="str">
        <x:v>EVT000910</x:v>
      </x:c>
      <x:c r="B913" s="50" t="str">
        <x:v>SYN0456</x:v>
      </x:c>
      <x:c r="C913" s="50" t="str">
        <x:v>day30_checkin_completed</x:v>
      </x:c>
      <x:c r="D913" s="51" t="n">
        <x:v>46207</x:v>
      </x:c>
    </x:row>
    <x:row r="914">
      <x:c r="A914" s="50" t="str">
        <x:v>EVT000911</x:v>
      </x:c>
      <x:c r="B914" s="50" t="str">
        <x:v>SYN0457</x:v>
      </x:c>
      <x:c r="C914" s="50" t="str">
        <x:v>coach_contact_completed</x:v>
      </x:c>
      <x:c r="D914" s="51" t="n">
        <x:v>46209</x:v>
      </x:c>
    </x:row>
    <x:row r="915">
      <x:c r="A915" s="50" t="str">
        <x:v>EVT000912</x:v>
      </x:c>
      <x:c r="B915" s="50" t="str">
        <x:v>SYN0457</x:v>
      </x:c>
      <x:c r="C915" s="50" t="str">
        <x:v>day30_checkin_completed</x:v>
      </x:c>
      <x:c r="D915" s="51" t="n">
        <x:v>46238</x:v>
      </x:c>
    </x:row>
    <x:row r="916">
      <x:c r="A916" s="50" t="str">
        <x:v>EVT000913</x:v>
      </x:c>
      <x:c r="B916" s="50" t="str">
        <x:v>SYN0457</x:v>
      </x:c>
      <x:c r="C916" s="50" t="str">
        <x:v>day60_activity_observed</x:v>
      </x:c>
      <x:c r="D916" s="51" t="n">
        <x:v>46262</x:v>
      </x:c>
    </x:row>
    <x:row r="917">
      <x:c r="A917" s="50" t="str">
        <x:v>EVT000914</x:v>
      </x:c>
      <x:c r="B917" s="50" t="str">
        <x:v>SYN0458</x:v>
      </x:c>
      <x:c r="C917" s="50" t="str">
        <x:v>day60_activity_observed</x:v>
      </x:c>
      <x:c r="D917" s="51" t="n">
        <x:v>46109</x:v>
      </x:c>
    </x:row>
    <x:row r="918">
      <x:c r="A918" s="50" t="str">
        <x:v>EVT000915</x:v>
      </x:c>
      <x:c r="B918" s="50" t="str">
        <x:v>SYN0459</x:v>
      </x:c>
      <x:c r="C918" s="50" t="str">
        <x:v>coach_contact_completed</x:v>
      </x:c>
      <x:c r="D918" s="51" t="n">
        <x:v>46046</x:v>
      </x:c>
    </x:row>
    <x:row r="919">
      <x:c r="A919" s="50" t="str">
        <x:v>EVT000916</x:v>
      </x:c>
      <x:c r="B919" s="50" t="str">
        <x:v>SYN0460</x:v>
      </x:c>
      <x:c r="C919" s="50" t="str">
        <x:v>coach_contact_completed</x:v>
      </x:c>
      <x:c r="D919" s="51" t="n">
        <x:v>46202</x:v>
      </x:c>
    </x:row>
    <x:row r="920">
      <x:c r="A920" s="50" t="str">
        <x:v>EVT000917</x:v>
      </x:c>
      <x:c r="B920" s="50" t="str">
        <x:v>SYN0460</x:v>
      </x:c>
      <x:c r="C920" s="50" t="str">
        <x:v>day30_checkin_completed</x:v>
      </x:c>
      <x:c r="D920" s="51" t="n">
        <x:v>46231</x:v>
      </x:c>
    </x:row>
    <x:row r="921">
      <x:c r="A921" s="50" t="str">
        <x:v>EVT000918</x:v>
      </x:c>
      <x:c r="B921" s="50" t="str">
        <x:v>SYN0460</x:v>
      </x:c>
      <x:c r="C921" s="50" t="str">
        <x:v>day60_activity_observed</x:v>
      </x:c>
      <x:c r="D921" s="51" t="n">
        <x:v>46271</x:v>
      </x:c>
    </x:row>
    <x:row r="922">
      <x:c r="A922" s="50" t="str">
        <x:v>EVT000919</x:v>
      </x:c>
      <x:c r="B922" s="50" t="str">
        <x:v>SYN0461</x:v>
      </x:c>
      <x:c r="C922" s="50" t="str">
        <x:v>coach_contact_completed</x:v>
      </x:c>
      <x:c r="D922" s="51" t="n">
        <x:v>46270</x:v>
      </x:c>
    </x:row>
    <x:row r="923">
      <x:c r="A923" s="50" t="str">
        <x:v>EVT000920</x:v>
      </x:c>
      <x:c r="B923" s="50" t="str">
        <x:v>SYN0462</x:v>
      </x:c>
      <x:c r="C923" s="50" t="str">
        <x:v>coach_contact_completed</x:v>
      </x:c>
      <x:c r="D923" s="51" t="n">
        <x:v>46199</x:v>
      </x:c>
    </x:row>
    <x:row r="924">
      <x:c r="A924" s="50" t="str">
        <x:v>EVT000921</x:v>
      </x:c>
      <x:c r="B924" s="50" t="str">
        <x:v>SYN0462</x:v>
      </x:c>
      <x:c r="C924" s="50" t="str">
        <x:v>day30_checkin_completed</x:v>
      </x:c>
      <x:c r="D924" s="51" t="n">
        <x:v>46221</x:v>
      </x:c>
    </x:row>
    <x:row r="925">
      <x:c r="A925" s="50" t="str">
        <x:v>EVT000922</x:v>
      </x:c>
      <x:c r="B925" s="50" t="str">
        <x:v>SYN0462</x:v>
      </x:c>
      <x:c r="C925" s="50" t="str">
        <x:v>day60_activity_observed</x:v>
      </x:c>
      <x:c r="D925" s="51" t="n">
        <x:v>46254</x:v>
      </x:c>
    </x:row>
    <x:row r="926">
      <x:c r="A926" s="50" t="str">
        <x:v>EVT000923</x:v>
      </x:c>
      <x:c r="B926" s="50" t="str">
        <x:v>SYN0463</x:v>
      </x:c>
      <x:c r="C926" s="50" t="str">
        <x:v>coach_contact_completed</x:v>
      </x:c>
      <x:c r="D926" s="51" t="n">
        <x:v>46207</x:v>
      </x:c>
    </x:row>
    <x:row r="927">
      <x:c r="A927" s="50" t="str">
        <x:v>EVT000924</x:v>
      </x:c>
      <x:c r="B927" s="50" t="str">
        <x:v>SYN0463</x:v>
      </x:c>
      <x:c r="C927" s="50" t="str">
        <x:v>day30_checkin_completed</x:v>
      </x:c>
      <x:c r="D927" s="51" t="n">
        <x:v>46230</x:v>
      </x:c>
    </x:row>
    <x:row r="928">
      <x:c r="A928" s="50" t="str">
        <x:v>EVT000925</x:v>
      </x:c>
      <x:c r="B928" s="50" t="str">
        <x:v>SYN0463</x:v>
      </x:c>
      <x:c r="C928" s="50" t="str">
        <x:v>day60_activity_observed</x:v>
      </x:c>
      <x:c r="D928" s="51" t="n">
        <x:v>46259</x:v>
      </x:c>
    </x:row>
    <x:row r="929">
      <x:c r="A929" s="50" t="str">
        <x:v>EVT000926</x:v>
      </x:c>
      <x:c r="B929" s="50" t="str">
        <x:v>SYN0464</x:v>
      </x:c>
      <x:c r="C929" s="50" t="str">
        <x:v>coach_contact_completed</x:v>
      </x:c>
      <x:c r="D929" s="51" t="n">
        <x:v>46182</x:v>
      </x:c>
    </x:row>
    <x:row r="930">
      <x:c r="A930" s="50" t="str">
        <x:v>EVT000927</x:v>
      </x:c>
      <x:c r="B930" s="50" t="str">
        <x:v>SYN0464</x:v>
      </x:c>
      <x:c r="C930" s="50" t="str">
        <x:v>day30_checkin_completed</x:v>
      </x:c>
      <x:c r="D930" s="51" t="n">
        <x:v>46216</x:v>
      </x:c>
    </x:row>
    <x:row r="931">
      <x:c r="A931" s="50" t="str">
        <x:v>EVT000928</x:v>
      </x:c>
      <x:c r="B931" s="50" t="str">
        <x:v>SYN0464</x:v>
      </x:c>
      <x:c r="C931" s="50" t="str">
        <x:v>day60_activity_observed</x:v>
      </x:c>
      <x:c r="D931" s="51" t="n">
        <x:v>46252</x:v>
      </x:c>
    </x:row>
    <x:row r="932">
      <x:c r="A932" s="50" t="str">
        <x:v>EVT000929</x:v>
      </x:c>
      <x:c r="B932" s="50" t="str">
        <x:v>SYN0465</x:v>
      </x:c>
      <x:c r="C932" s="50" t="str">
        <x:v>coach_contact_completed</x:v>
      </x:c>
      <x:c r="D932" s="51" t="n">
        <x:v>46254</x:v>
      </x:c>
    </x:row>
    <x:row r="933">
      <x:c r="A933" s="50" t="str">
        <x:v>EVT000930</x:v>
      </x:c>
      <x:c r="B933" s="50" t="str">
        <x:v>SYN0466</x:v>
      </x:c>
      <x:c r="C933" s="50" t="str">
        <x:v>coach_contact_completed</x:v>
      </x:c>
      <x:c r="D933" s="51" t="n">
        <x:v>46036</x:v>
      </x:c>
    </x:row>
    <x:row r="934">
      <x:c r="A934" s="50" t="str">
        <x:v>EVT000931</x:v>
      </x:c>
      <x:c r="B934" s="50" t="str">
        <x:v>SYN0467</x:v>
      </x:c>
      <x:c r="C934" s="50" t="str">
        <x:v>coach_contact_completed</x:v>
      </x:c>
      <x:c r="D934" s="51" t="n">
        <x:v>46262</x:v>
      </x:c>
    </x:row>
    <x:row r="935">
      <x:c r="A935" s="50" t="str">
        <x:v>EVT000932</x:v>
      </x:c>
      <x:c r="B935" s="50" t="str">
        <x:v>SYN0467</x:v>
      </x:c>
      <x:c r="C935" s="50" t="str">
        <x:v>day30_checkin_completed</x:v>
      </x:c>
      <x:c r="D935" s="51" t="n">
        <x:v>46285</x:v>
      </x:c>
    </x:row>
    <x:row r="936">
      <x:c r="A936" s="50" t="str">
        <x:v>EVT000933</x:v>
      </x:c>
      <x:c r="B936" s="50" t="str">
        <x:v>SYN0468</x:v>
      </x:c>
      <x:c r="C936" s="50" t="str">
        <x:v>coach_contact_completed</x:v>
      </x:c>
      <x:c r="D936" s="51" t="n">
        <x:v>46136</x:v>
      </x:c>
    </x:row>
    <x:row r="937">
      <x:c r="A937" s="50" t="str">
        <x:v>EVT000934</x:v>
      </x:c>
      <x:c r="B937" s="50" t="str">
        <x:v>SYN0468</x:v>
      </x:c>
      <x:c r="C937" s="50" t="str">
        <x:v>day30_checkin_completed</x:v>
      </x:c>
      <x:c r="D937" s="51" t="n">
        <x:v>46168</x:v>
      </x:c>
    </x:row>
    <x:row r="938">
      <x:c r="A938" s="50" t="str">
        <x:v>EVT000935</x:v>
      </x:c>
      <x:c r="B938" s="50" t="str">
        <x:v>SYN0468</x:v>
      </x:c>
      <x:c r="C938" s="50" t="str">
        <x:v>day60_activity_observed</x:v>
      </x:c>
      <x:c r="D938" s="51" t="n">
        <x:v>46194</x:v>
      </x:c>
    </x:row>
    <x:row r="939">
      <x:c r="A939" s="50" t="str">
        <x:v>EVT000936</x:v>
      </x:c>
      <x:c r="B939" s="50" t="str">
        <x:v>SYN0469</x:v>
      </x:c>
      <x:c r="C939" s="50" t="str">
        <x:v>coach_contact_completed</x:v>
      </x:c>
      <x:c r="D939" s="51" t="n">
        <x:v>46067</x:v>
      </x:c>
    </x:row>
    <x:row r="940">
      <x:c r="A940" s="50" t="str">
        <x:v>EVT000937</x:v>
      </x:c>
      <x:c r="B940" s="50" t="str">
        <x:v>SYN0469</x:v>
      </x:c>
      <x:c r="C940" s="50" t="str">
        <x:v>day30_checkin_completed</x:v>
      </x:c>
      <x:c r="D940" s="51" t="n">
        <x:v>46096</x:v>
      </x:c>
    </x:row>
    <x:row r="941">
      <x:c r="A941" s="50" t="str">
        <x:v>EVT000938</x:v>
      </x:c>
      <x:c r="B941" s="50" t="str">
        <x:v>SYN0469</x:v>
      </x:c>
      <x:c r="C941" s="50" t="str">
        <x:v>day60_activity_observed</x:v>
      </x:c>
      <x:c r="D941" s="51" t="n">
        <x:v>46132</x:v>
      </x:c>
    </x:row>
    <x:row r="942">
      <x:c r="A942" s="50" t="str">
        <x:v>EVT000939</x:v>
      </x:c>
      <x:c r="B942" s="50" t="str">
        <x:v>SYN0470</x:v>
      </x:c>
      <x:c r="C942" s="50" t="str">
        <x:v>coach_contact_completed</x:v>
      </x:c>
      <x:c r="D942" s="51" t="n">
        <x:v>46200</x:v>
      </x:c>
    </x:row>
    <x:row r="943">
      <x:c r="A943" s="50" t="str">
        <x:v>EVT000940</x:v>
      </x:c>
      <x:c r="B943" s="50" t="str">
        <x:v>SYN0470</x:v>
      </x:c>
      <x:c r="C943" s="50" t="str">
        <x:v>day30_checkin_completed</x:v>
      </x:c>
      <x:c r="D943" s="51" t="n">
        <x:v>46233</x:v>
      </x:c>
    </x:row>
    <x:row r="944">
      <x:c r="A944" s="50" t="str">
        <x:v>EVT000941</x:v>
      </x:c>
      <x:c r="B944" s="50" t="str">
        <x:v>SYN0470</x:v>
      </x:c>
      <x:c r="C944" s="50" t="str">
        <x:v>day60_activity_observed</x:v>
      </x:c>
      <x:c r="D944" s="51" t="n">
        <x:v>46263</x:v>
      </x:c>
    </x:row>
    <x:row r="945">
      <x:c r="A945" s="50" t="str">
        <x:v>EVT000942</x:v>
      </x:c>
      <x:c r="B945" s="50" t="str">
        <x:v>SYN0471</x:v>
      </x:c>
      <x:c r="C945" s="50" t="str">
        <x:v>coach_contact_completed</x:v>
      </x:c>
      <x:c r="D945" s="51" t="n">
        <x:v>46232</x:v>
      </x:c>
    </x:row>
    <x:row r="946">
      <x:c r="A946" s="50" t="str">
        <x:v>EVT000943</x:v>
      </x:c>
      <x:c r="B946" s="50" t="str">
        <x:v>SYN0472</x:v>
      </x:c>
      <x:c r="C946" s="50" t="str">
        <x:v>coach_contact_completed</x:v>
      </x:c>
      <x:c r="D946" s="51" t="n">
        <x:v>46128</x:v>
      </x:c>
    </x:row>
    <x:row r="947">
      <x:c r="A947" s="50" t="str">
        <x:v>EVT000944</x:v>
      </x:c>
      <x:c r="B947" s="50" t="str">
        <x:v>SYN0472</x:v>
      </x:c>
      <x:c r="C947" s="50" t="str">
        <x:v>day30_checkin_completed</x:v>
      </x:c>
      <x:c r="D947" s="51" t="n">
        <x:v>46157</x:v>
      </x:c>
    </x:row>
    <x:row r="948">
      <x:c r="A948" s="50" t="str">
        <x:v>EVT000945</x:v>
      </x:c>
      <x:c r="B948" s="50" t="str">
        <x:v>SYN0473</x:v>
      </x:c>
      <x:c r="C948" s="50" t="str">
        <x:v>coach_contact_completed</x:v>
      </x:c>
      <x:c r="D948" s="51" t="n">
        <x:v>46109</x:v>
      </x:c>
    </x:row>
    <x:row r="949">
      <x:c r="A949" s="50" t="str">
        <x:v>EVT000946</x:v>
      </x:c>
      <x:c r="B949" s="50" t="str">
        <x:v>SYN0473</x:v>
      </x:c>
      <x:c r="C949" s="50" t="str">
        <x:v>day30_checkin_completed</x:v>
      </x:c>
      <x:c r="D949" s="51" t="n">
        <x:v>46143</x:v>
      </x:c>
    </x:row>
    <x:row r="950">
      <x:c r="A950" s="50" t="str">
        <x:v>EVT000947</x:v>
      </x:c>
      <x:c r="B950" s="50" t="str">
        <x:v>SYN0473</x:v>
      </x:c>
      <x:c r="C950" s="50" t="str">
        <x:v>day60_activity_observed</x:v>
      </x:c>
      <x:c r="D950" s="51" t="n">
        <x:v>46170</x:v>
      </x:c>
    </x:row>
    <x:row r="951">
      <x:c r="A951" s="50" t="str">
        <x:v>EVT000948</x:v>
      </x:c>
      <x:c r="B951" s="50" t="str">
        <x:v>SYN0474</x:v>
      </x:c>
      <x:c r="C951" s="50" t="str">
        <x:v>coach_contact_completed</x:v>
      </x:c>
      <x:c r="D951" s="51" t="n">
        <x:v>46078</x:v>
      </x:c>
    </x:row>
    <x:row r="952">
      <x:c r="A952" s="50" t="str">
        <x:v>EVT000949</x:v>
      </x:c>
      <x:c r="B952" s="50" t="str">
        <x:v>SYN0474</x:v>
      </x:c>
      <x:c r="C952" s="50" t="str">
        <x:v>day60_activity_observed</x:v>
      </x:c>
      <x:c r="D952" s="51" t="n">
        <x:v>46141</x:v>
      </x:c>
    </x:row>
    <x:row r="953">
      <x:c r="A953" s="50" t="str">
        <x:v>EVT000950</x:v>
      </x:c>
      <x:c r="B953" s="50" t="str">
        <x:v>SYN0475</x:v>
      </x:c>
      <x:c r="C953" s="50" t="str">
        <x:v>coach_contact_completed</x:v>
      </x:c>
      <x:c r="D953" s="51" t="n">
        <x:v>46265</x:v>
      </x:c>
    </x:row>
    <x:row r="954">
      <x:c r="A954" s="50" t="str">
        <x:v>EVT000951</x:v>
      </x:c>
      <x:c r="B954" s="50" t="str">
        <x:v>SYN0475</x:v>
      </x:c>
      <x:c r="C954" s="50" t="str">
        <x:v>day30_checkin_completed</x:v>
      </x:c>
      <x:c r="D954" s="51" t="n">
        <x:v>46291</x:v>
      </x:c>
    </x:row>
    <x:row r="955">
      <x:c r="A955" s="50" t="str">
        <x:v>EVT000952</x:v>
      </x:c>
      <x:c r="B955" s="50" t="str">
        <x:v>SYN0476</x:v>
      </x:c>
      <x:c r="C955" s="50" t="str">
        <x:v>coach_contact_completed</x:v>
      </x:c>
      <x:c r="D955" s="51" t="n">
        <x:v>46095</x:v>
      </x:c>
    </x:row>
    <x:row r="956">
      <x:c r="A956" s="50" t="str">
        <x:v>EVT000953</x:v>
      </x:c>
      <x:c r="B956" s="50" t="str">
        <x:v>SYN0476</x:v>
      </x:c>
      <x:c r="C956" s="50" t="str">
        <x:v>day30_checkin_completed</x:v>
      </x:c>
      <x:c r="D956" s="51" t="n">
        <x:v>46124</x:v>
      </x:c>
    </x:row>
    <x:row r="957">
      <x:c r="A957" s="50" t="str">
        <x:v>EVT000954</x:v>
      </x:c>
      <x:c r="B957" s="50" t="str">
        <x:v>SYN0476</x:v>
      </x:c>
      <x:c r="C957" s="50" t="str">
        <x:v>day60_activity_observed</x:v>
      </x:c>
      <x:c r="D957" s="51" t="n">
        <x:v>46160</x:v>
      </x:c>
    </x:row>
    <x:row r="958">
      <x:c r="A958" s="50" t="str">
        <x:v>EVT000955</x:v>
      </x:c>
      <x:c r="B958" s="50" t="str">
        <x:v>SYN0477</x:v>
      </x:c>
      <x:c r="C958" s="50" t="str">
        <x:v>coach_contact_completed</x:v>
      </x:c>
      <x:c r="D958" s="51" t="n">
        <x:v>46075</x:v>
      </x:c>
    </x:row>
    <x:row r="959">
      <x:c r="A959" s="50" t="str">
        <x:v>EVT000956</x:v>
      </x:c>
      <x:c r="B959" s="50" t="str">
        <x:v>SYN0477</x:v>
      </x:c>
      <x:c r="C959" s="50" t="str">
        <x:v>day30_checkin_completed</x:v>
      </x:c>
      <x:c r="D959" s="51" t="n">
        <x:v>46103</x:v>
      </x:c>
    </x:row>
    <x:row r="960">
      <x:c r="A960" s="50" t="str">
        <x:v>EVT000957</x:v>
      </x:c>
      <x:c r="B960" s="50" t="str">
        <x:v>SYN0477</x:v>
      </x:c>
      <x:c r="C960" s="50" t="str">
        <x:v>day60_activity_observed</x:v>
      </x:c>
      <x:c r="D960" s="51" t="n">
        <x:v>46143</x:v>
      </x:c>
    </x:row>
    <x:row r="961">
      <x:c r="A961" s="50" t="str">
        <x:v>EVT000958</x:v>
      </x:c>
      <x:c r="B961" s="50" t="str">
        <x:v>SYN0478</x:v>
      </x:c>
      <x:c r="C961" s="50" t="str">
        <x:v>coach_contact_completed</x:v>
      </x:c>
      <x:c r="D961" s="51" t="n">
        <x:v>46132</x:v>
      </x:c>
    </x:row>
    <x:row r="962">
      <x:c r="A962" s="50" t="str">
        <x:v>EVT000959</x:v>
      </x:c>
      <x:c r="B962" s="50" t="str">
        <x:v>SYN0478</x:v>
      </x:c>
      <x:c r="C962" s="50" t="str">
        <x:v>day30_checkin_completed</x:v>
      </x:c>
      <x:c r="D962" s="51" t="n">
        <x:v>46168</x:v>
      </x:c>
    </x:row>
    <x:row r="963">
      <x:c r="A963" s="50" t="str">
        <x:v>EVT000960</x:v>
      </x:c>
      <x:c r="B963" s="50" t="str">
        <x:v>SYN0478</x:v>
      </x:c>
      <x:c r="C963" s="50" t="str">
        <x:v>day60_activity_observed</x:v>
      </x:c>
      <x:c r="D963" s="51" t="n">
        <x:v>46196</x:v>
      </x:c>
    </x:row>
    <x:row r="964">
      <x:c r="A964" s="50" t="str">
        <x:v>EVT000961</x:v>
      </x:c>
      <x:c r="B964" s="50" t="str">
        <x:v>SYN0479</x:v>
      </x:c>
      <x:c r="C964" s="50" t="str">
        <x:v>day30_checkin_completed</x:v>
      </x:c>
      <x:c r="D964" s="51" t="n">
        <x:v>46071</x:v>
      </x:c>
    </x:row>
    <x:row r="965">
      <x:c r="A965" s="50" t="str">
        <x:v>EVT000962</x:v>
      </x:c>
      <x:c r="B965" s="50" t="str">
        <x:v>SYN0479</x:v>
      </x:c>
      <x:c r="C965" s="50" t="str">
        <x:v>day60_activity_observed</x:v>
      </x:c>
      <x:c r="D965" s="51" t="n">
        <x:v>46107</x:v>
      </x:c>
    </x:row>
    <x:row r="966">
      <x:c r="A966" s="50" t="str">
        <x:v>EVT000963</x:v>
      </x:c>
      <x:c r="B966" s="50" t="str">
        <x:v>SYN0480</x:v>
      </x:c>
      <x:c r="C966" s="50" t="str">
        <x:v>coach_contact_completed</x:v>
      </x:c>
      <x:c r="D966" s="51" t="n">
        <x:v>46097</x:v>
      </x:c>
    </x:row>
    <x:row r="967">
      <x:c r="A967" s="50" t="str">
        <x:v>EVT000964</x:v>
      </x:c>
      <x:c r="B967" s="50" t="str">
        <x:v>SYN0480</x:v>
      </x:c>
      <x:c r="C967" s="50" t="str">
        <x:v>day30_checkin_completed</x:v>
      </x:c>
      <x:c r="D967" s="51" t="n">
        <x:v>46127</x:v>
      </x:c>
    </x:row>
    <x:row r="968">
      <x:c r="A968" s="50" t="str">
        <x:v>EVT000965</x:v>
      </x:c>
      <x:c r="B968" s="50" t="str">
        <x:v>SYN0480</x:v>
      </x:c>
      <x:c r="C968" s="50" t="str">
        <x:v>day60_activity_observed</x:v>
      </x:c>
      <x:c r="D968" s="51" t="n">
        <x:v>46163</x:v>
      </x:c>
    </x:row>
    <x:row r="969">
      <x:c r="A969" s="50" t="str">
        <x:v>EVT000966</x:v>
      </x:c>
      <x:c r="B969" s="50" t="str">
        <x:v>SYN0483</x:v>
      </x:c>
      <x:c r="C969" s="50" t="str">
        <x:v>coach_contact_completed</x:v>
      </x:c>
      <x:c r="D969" s="51" t="n">
        <x:v>46269</x:v>
      </x:c>
    </x:row>
    <x:row r="970">
      <x:c r="A970" s="50" t="str">
        <x:v>EVT000967</x:v>
      </x:c>
      <x:c r="B970" s="50" t="str">
        <x:v>SYN0483</x:v>
      </x:c>
      <x:c r="C970" s="50" t="str">
        <x:v>day30_checkin_completed</x:v>
      </x:c>
      <x:c r="D970" s="51" t="n">
        <x:v>46294</x:v>
      </x:c>
    </x:row>
    <x:row r="971">
      <x:c r="A971" s="50" t="str">
        <x:v>EVT000968</x:v>
      </x:c>
      <x:c r="B971" s="50" t="str">
        <x:v>SYN0485</x:v>
      </x:c>
      <x:c r="C971" s="50" t="str">
        <x:v>coach_contact_completed</x:v>
      </x:c>
      <x:c r="D971" s="51" t="n">
        <x:v>46142</x:v>
      </x:c>
    </x:row>
    <x:row r="972">
      <x:c r="A972" s="50" t="str">
        <x:v>EVT000969</x:v>
      </x:c>
      <x:c r="B972" s="50" t="str">
        <x:v>SYN0485</x:v>
      </x:c>
      <x:c r="C972" s="50" t="str">
        <x:v>day30_checkin_completed</x:v>
      </x:c>
      <x:c r="D972" s="51" t="n">
        <x:v>46172</x:v>
      </x:c>
    </x:row>
    <x:row r="973">
      <x:c r="A973" s="50" t="str">
        <x:v>EVT000970</x:v>
      </x:c>
      <x:c r="B973" s="50" t="str">
        <x:v>SYN0485</x:v>
      </x:c>
      <x:c r="C973" s="50" t="str">
        <x:v>day60_activity_observed</x:v>
      </x:c>
      <x:c r="D973" s="51" t="n">
        <x:v>46212</x:v>
      </x:c>
    </x:row>
    <x:row r="974">
      <x:c r="A974" s="50" t="str">
        <x:v>EVT000971</x:v>
      </x:c>
      <x:c r="B974" s="50" t="str">
        <x:v>SYN0486</x:v>
      </x:c>
      <x:c r="C974" s="50" t="str">
        <x:v>coach_contact_completed</x:v>
      </x:c>
      <x:c r="D974" s="51" t="n">
        <x:v>46133</x:v>
      </x:c>
    </x:row>
    <x:row r="975">
      <x:c r="A975" s="50" t="str">
        <x:v>EVT000972</x:v>
      </x:c>
      <x:c r="B975" s="50" t="str">
        <x:v>SYN0486</x:v>
      </x:c>
      <x:c r="C975" s="50" t="str">
        <x:v>day30_checkin_completed</x:v>
      </x:c>
      <x:c r="D975" s="51" t="n">
        <x:v>46165</x:v>
      </x:c>
    </x:row>
    <x:row r="976">
      <x:c r="A976" s="50" t="str">
        <x:v>EVT000973</x:v>
      </x:c>
      <x:c r="B976" s="50" t="str">
        <x:v>SYN0486</x:v>
      </x:c>
      <x:c r="C976" s="50" t="str">
        <x:v>day60_activity_observed</x:v>
      </x:c>
      <x:c r="D976" s="51" t="n">
        <x:v>46189</x:v>
      </x:c>
    </x:row>
    <x:row r="977">
      <x:c r="A977" s="50" t="str">
        <x:v>EVT000974</x:v>
      </x:c>
      <x:c r="B977" s="50" t="str">
        <x:v>SYN0487</x:v>
      </x:c>
      <x:c r="C977" s="50" t="str">
        <x:v>day30_checkin_completed</x:v>
      </x:c>
      <x:c r="D977" s="51" t="n">
        <x:v>46093</x:v>
      </x:c>
    </x:row>
    <x:row r="978">
      <x:c r="A978" s="50" t="str">
        <x:v>EVT000975</x:v>
      </x:c>
      <x:c r="B978" s="50" t="str">
        <x:v>SYN0488</x:v>
      </x:c>
      <x:c r="C978" s="50" t="str">
        <x:v>coach_contact_completed</x:v>
      </x:c>
      <x:c r="D978" s="51" t="n">
        <x:v>46169</x:v>
      </x:c>
    </x:row>
    <x:row r="979">
      <x:c r="A979" s="50" t="str">
        <x:v>EVT000976</x:v>
      </x:c>
      <x:c r="B979" s="50" t="str">
        <x:v>SYN0489</x:v>
      </x:c>
      <x:c r="C979" s="50" t="str">
        <x:v>coach_contact_completed</x:v>
      </x:c>
      <x:c r="D979" s="51" t="n">
        <x:v>46112</x:v>
      </x:c>
    </x:row>
    <x:row r="980">
      <x:c r="A980" s="50" t="str">
        <x:v>EVT000977</x:v>
      </x:c>
      <x:c r="B980" s="50" t="str">
        <x:v>SYN0489</x:v>
      </x:c>
      <x:c r="C980" s="50" t="str">
        <x:v>day30_checkin_completed</x:v>
      </x:c>
      <x:c r="D980" s="51" t="n">
        <x:v>46147</x:v>
      </x:c>
    </x:row>
    <x:row r="981">
      <x:c r="A981" s="50" t="str">
        <x:v>EVT000978</x:v>
      </x:c>
      <x:c r="B981" s="50" t="str">
        <x:v>SYN0489</x:v>
      </x:c>
      <x:c r="C981" s="50" t="str">
        <x:v>day60_activity_observed</x:v>
      </x:c>
      <x:c r="D981" s="51" t="n">
        <x:v>46180</x:v>
      </x:c>
    </x:row>
    <x:row r="982">
      <x:c r="A982" s="50" t="str">
        <x:v>EVT000979</x:v>
      </x:c>
      <x:c r="B982" s="50" t="str">
        <x:v>SYN0490</x:v>
      </x:c>
      <x:c r="C982" s="50" t="str">
        <x:v>coach_contact_completed</x:v>
      </x:c>
      <x:c r="D982" s="51" t="n">
        <x:v>46122</x:v>
      </x:c>
    </x:row>
    <x:row r="983">
      <x:c r="A983" s="50" t="str">
        <x:v>EVT000980</x:v>
      </x:c>
      <x:c r="B983" s="50" t="str">
        <x:v>SYN0490</x:v>
      </x:c>
      <x:c r="C983" s="50" t="str">
        <x:v>day30_checkin_completed</x:v>
      </x:c>
      <x:c r="D983" s="51" t="n">
        <x:v>46145</x:v>
      </x:c>
    </x:row>
    <x:row r="984">
      <x:c r="A984" s="50" t="str">
        <x:v>EVT000981</x:v>
      </x:c>
      <x:c r="B984" s="50" t="str">
        <x:v>SYN0491</x:v>
      </x:c>
      <x:c r="C984" s="50" t="str">
        <x:v>day30_checkin_completed</x:v>
      </x:c>
      <x:c r="D984" s="51" t="n">
        <x:v>46166</x:v>
      </x:c>
    </x:row>
    <x:row r="985">
      <x:c r="A985" s="50" t="str">
        <x:v>EVT000982</x:v>
      </x:c>
      <x:c r="B985" s="50" t="str">
        <x:v>SYN0492</x:v>
      </x:c>
      <x:c r="C985" s="50" t="str">
        <x:v>coach_contact_completed</x:v>
      </x:c>
      <x:c r="D985" s="51" t="n">
        <x:v>46148</x:v>
      </x:c>
    </x:row>
    <x:row r="986">
      <x:c r="A986" s="50" t="str">
        <x:v>EVT000983</x:v>
      </x:c>
      <x:c r="B986" s="50" t="str">
        <x:v>SYN0493</x:v>
      </x:c>
      <x:c r="C986" s="50" t="str">
        <x:v>coach_contact_completed</x:v>
      </x:c>
      <x:c r="D986" s="51" t="n">
        <x:v>46214</x:v>
      </x:c>
    </x:row>
    <x:row r="987">
      <x:c r="A987" s="50" t="str">
        <x:v>EVT000984</x:v>
      </x:c>
      <x:c r="B987" s="50" t="str">
        <x:v>SYN0493</x:v>
      </x:c>
      <x:c r="C987" s="50" t="str">
        <x:v>day60_activity_observed</x:v>
      </x:c>
      <x:c r="D987" s="51" t="n">
        <x:v>46276</x:v>
      </x:c>
    </x:row>
    <x:row r="988">
      <x:c r="A988" s="50" t="str">
        <x:v>EVT000985</x:v>
      </x:c>
      <x:c r="B988" s="50" t="str">
        <x:v>SYN0494</x:v>
      </x:c>
      <x:c r="C988" s="50" t="str">
        <x:v>day30_checkin_completed</x:v>
      </x:c>
      <x:c r="D988" s="51" t="n">
        <x:v>46142</x:v>
      </x:c>
    </x:row>
    <x:row r="989">
      <x:c r="A989" s="50" t="str">
        <x:v>EVT000986</x:v>
      </x:c>
      <x:c r="B989" s="50" t="str">
        <x:v>SYN0494</x:v>
      </x:c>
      <x:c r="C989" s="50" t="str">
        <x:v>day60_activity_observed</x:v>
      </x:c>
      <x:c r="D989" s="51" t="n">
        <x:v>46175</x:v>
      </x:c>
    </x:row>
    <x:row r="990">
      <x:c r="A990" s="50" t="str">
        <x:v>EVT000987</x:v>
      </x:c>
      <x:c r="B990" s="50" t="str">
        <x:v>SYN0495</x:v>
      </x:c>
      <x:c r="C990" s="50" t="str">
        <x:v>coach_contact_completed</x:v>
      </x:c>
      <x:c r="D990" s="51" t="n">
        <x:v>46092</x:v>
      </x:c>
    </x:row>
    <x:row r="991">
      <x:c r="A991" s="50" t="str">
        <x:v>EVT000988</x:v>
      </x:c>
      <x:c r="B991" s="50" t="str">
        <x:v>SYN0495</x:v>
      </x:c>
      <x:c r="C991" s="50" t="str">
        <x:v>day60_activity_observed</x:v>
      </x:c>
      <x:c r="D991" s="51" t="n">
        <x:v>46156</x:v>
      </x:c>
    </x:row>
    <x:row r="992">
      <x:c r="A992" s="50" t="str">
        <x:v>EVT000989</x:v>
      </x:c>
      <x:c r="B992" s="50" t="str">
        <x:v>SYN0496</x:v>
      </x:c>
      <x:c r="C992" s="50" t="str">
        <x:v>day30_checkin_completed</x:v>
      </x:c>
      <x:c r="D992" s="51" t="n">
        <x:v>46069</x:v>
      </x:c>
    </x:row>
    <x:row r="993">
      <x:c r="A993" s="50" t="str">
        <x:v>EVT000990</x:v>
      </x:c>
      <x:c r="B993" s="50" t="str">
        <x:v>SYN0496</x:v>
      </x:c>
      <x:c r="C993" s="50" t="str">
        <x:v>day60_activity_observed</x:v>
      </x:c>
      <x:c r="D993" s="51" t="n">
        <x:v>46105</x:v>
      </x:c>
    </x:row>
    <x:row r="994">
      <x:c r="A994" s="50" t="str">
        <x:v>EVT000991</x:v>
      </x:c>
      <x:c r="B994" s="50" t="str">
        <x:v>SYN0497</x:v>
      </x:c>
      <x:c r="C994" s="50" t="str">
        <x:v>coach_contact_completed</x:v>
      </x:c>
      <x:c r="D994" s="51" t="n">
        <x:v>46246</x:v>
      </x:c>
    </x:row>
    <x:row r="995">
      <x:c r="A995" s="50" t="str">
        <x:v>EVT000992</x:v>
      </x:c>
      <x:c r="B995" s="50" t="str">
        <x:v>SYN0497</x:v>
      </x:c>
      <x:c r="C995" s="50" t="str">
        <x:v>day30_checkin_completed</x:v>
      </x:c>
      <x:c r="D995" s="51" t="n">
        <x:v>46278</x:v>
      </x:c>
    </x:row>
    <x:row r="996">
      <x:c r="A996" s="50" t="str">
        <x:v>EVT000993</x:v>
      </x:c>
      <x:c r="B996" s="50" t="str">
        <x:v>SYN0498</x:v>
      </x:c>
      <x:c r="C996" s="50" t="str">
        <x:v>coach_contact_completed</x:v>
      </x:c>
      <x:c r="D996" s="51" t="n">
        <x:v>46197</x:v>
      </x:c>
    </x:row>
    <x:row r="997">
      <x:c r="A997" s="50" t="str">
        <x:v>EVT000994</x:v>
      </x:c>
      <x:c r="B997" s="50" t="str">
        <x:v>SYN0498</x:v>
      </x:c>
      <x:c r="C997" s="50" t="str">
        <x:v>day60_activity_observed</x:v>
      </x:c>
      <x:c r="D997" s="51" t="n">
        <x:v>46245</x:v>
      </x:c>
    </x:row>
    <x:row r="998">
      <x:c r="A998" s="50" t="str">
        <x:v>EVT000995</x:v>
      </x:c>
      <x:c r="B998" s="50" t="str">
        <x:v>SYN0499</x:v>
      </x:c>
      <x:c r="C998" s="50" t="str">
        <x:v>coach_contact_completed</x:v>
      </x:c>
      <x:c r="D998" s="51" t="n">
        <x:v>46239</x:v>
      </x:c>
    </x:row>
    <x:row r="999">
      <x:c r="A999" s="50" t="str">
        <x:v>EVT000996</x:v>
      </x:c>
      <x:c r="B999" s="50" t="str">
        <x:v>SYN0500</x:v>
      </x:c>
      <x:c r="C999" s="50" t="str">
        <x:v>coach_contact_completed</x:v>
      </x:c>
      <x:c r="D999" s="51" t="n">
        <x:v>46078</x:v>
      </x:c>
    </x:row>
    <x:row r="1000">
      <x:c r="A1000" s="50" t="str">
        <x:v>EVT000997</x:v>
      </x:c>
      <x:c r="B1000" s="50" t="str">
        <x:v>SYN0500</x:v>
      </x:c>
      <x:c r="C1000" s="50" t="str">
        <x:v>day30_checkin_completed</x:v>
      </x:c>
      <x:c r="D1000" s="51" t="n">
        <x:v>46113</x:v>
      </x:c>
    </x:row>
    <x:row r="1001">
      <x:c r="A1001" s="50" t="str">
        <x:v>EVT000998</x:v>
      </x:c>
      <x:c r="B1001" s="50" t="str">
        <x:v>SYN0500</x:v>
      </x:c>
      <x:c r="C1001" s="50" t="str">
        <x:v>day60_activity_observed</x:v>
      </x:c>
      <x:c r="D1001" s="51" t="n">
        <x:v>46150</x:v>
      </x:c>
    </x:row>
    <x:row r="1002">
      <x:c r="A1002" s="50" t="str">
        <x:v>EVT000999</x:v>
      </x:c>
      <x:c r="B1002" s="50" t="str">
        <x:v>SYN0501</x:v>
      </x:c>
      <x:c r="C1002" s="50" t="str">
        <x:v>coach_contact_completed</x:v>
      </x:c>
      <x:c r="D1002" s="51" t="n">
        <x:v>46215</x:v>
      </x:c>
    </x:row>
    <x:row r="1003">
      <x:c r="A1003" s="50" t="str">
        <x:v>EVT001000</x:v>
      </x:c>
      <x:c r="B1003" s="50" t="str">
        <x:v>SYN0501</x:v>
      </x:c>
      <x:c r="C1003" s="50" t="str">
        <x:v>day30_checkin_completed</x:v>
      </x:c>
      <x:c r="D1003" s="51" t="n">
        <x:v>46243</x:v>
      </x:c>
    </x:row>
    <x:row r="1004">
      <x:c r="A1004" s="50" t="str">
        <x:v>EVT001001</x:v>
      </x:c>
      <x:c r="B1004" s="50" t="str">
        <x:v>SYN0502</x:v>
      </x:c>
      <x:c r="C1004" s="50" t="str">
        <x:v>coach_contact_completed</x:v>
      </x:c>
      <x:c r="D1004" s="51" t="n">
        <x:v>46060</x:v>
      </x:c>
    </x:row>
    <x:row r="1005">
      <x:c r="A1005" s="50" t="str">
        <x:v>EVT001002</x:v>
      </x:c>
      <x:c r="B1005" s="50" t="str">
        <x:v>SYN0502</x:v>
      </x:c>
      <x:c r="C1005" s="50" t="str">
        <x:v>day30_checkin_completed</x:v>
      </x:c>
      <x:c r="D1005" s="51" t="n">
        <x:v>46095</x:v>
      </x:c>
    </x:row>
    <x:row r="1006">
      <x:c r="A1006" s="50" t="str">
        <x:v>EVT001003</x:v>
      </x:c>
      <x:c r="B1006" s="50" t="str">
        <x:v>SYN0503</x:v>
      </x:c>
      <x:c r="C1006" s="50" t="str">
        <x:v>coach_contact_completed</x:v>
      </x:c>
      <x:c r="D1006" s="51" t="n">
        <x:v>46075</x:v>
      </x:c>
    </x:row>
    <x:row r="1007">
      <x:c r="A1007" s="50" t="str">
        <x:v>EVT001004</x:v>
      </x:c>
      <x:c r="B1007" s="50" t="str">
        <x:v>SYN0503</x:v>
      </x:c>
      <x:c r="C1007" s="50" t="str">
        <x:v>day30_checkin_completed</x:v>
      </x:c>
      <x:c r="D1007" s="51" t="n">
        <x:v>46101</x:v>
      </x:c>
    </x:row>
    <x:row r="1008">
      <x:c r="A1008" s="50" t="str">
        <x:v>EVT001005</x:v>
      </x:c>
      <x:c r="B1008" s="50" t="str">
        <x:v>SYN0503</x:v>
      </x:c>
      <x:c r="C1008" s="50" t="str">
        <x:v>day60_activity_observed</x:v>
      </x:c>
      <x:c r="D1008" s="51" t="n">
        <x:v>46132</x:v>
      </x:c>
    </x:row>
    <x:row r="1009">
      <x:c r="A1009" s="50" t="str">
        <x:v>EVT001006</x:v>
      </x:c>
      <x:c r="B1009" s="50" t="str">
        <x:v>SYN0504</x:v>
      </x:c>
      <x:c r="C1009" s="50" t="str">
        <x:v>coach_contact_completed</x:v>
      </x:c>
      <x:c r="D1009" s="51" t="n">
        <x:v>46117</x:v>
      </x:c>
    </x:row>
    <x:row r="1010">
      <x:c r="A1010" s="50" t="str">
        <x:v>EVT001007</x:v>
      </x:c>
      <x:c r="B1010" s="50" t="str">
        <x:v>SYN0504</x:v>
      </x:c>
      <x:c r="C1010" s="50" t="str">
        <x:v>day60_activity_observed</x:v>
      </x:c>
      <x:c r="D1010" s="51" t="n">
        <x:v>46179</x:v>
      </x:c>
    </x:row>
    <x:row r="1011">
      <x:c r="A1011" s="50" t="str">
        <x:v>EVT001008</x:v>
      </x:c>
      <x:c r="B1011" s="50" t="str">
        <x:v>SYN0505</x:v>
      </x:c>
      <x:c r="C1011" s="50" t="str">
        <x:v>coach_contact_completed</x:v>
      </x:c>
      <x:c r="D1011" s="51" t="n">
        <x:v>46031</x:v>
      </x:c>
    </x:row>
    <x:row r="1012">
      <x:c r="A1012" s="50" t="str">
        <x:v>EVT001009</x:v>
      </x:c>
      <x:c r="B1012" s="50" t="str">
        <x:v>SYN0506</x:v>
      </x:c>
      <x:c r="C1012" s="50" t="str">
        <x:v>coach_contact_completed</x:v>
      </x:c>
      <x:c r="D1012" s="51" t="n">
        <x:v>46056</x:v>
      </x:c>
    </x:row>
    <x:row r="1013">
      <x:c r="A1013" s="50" t="str">
        <x:v>EVT001010</x:v>
      </x:c>
      <x:c r="B1013" s="50" t="str">
        <x:v>SYN0506</x:v>
      </x:c>
      <x:c r="C1013" s="50" t="str">
        <x:v>day30_checkin_completed</x:v>
      </x:c>
      <x:c r="D1013" s="51" t="n">
        <x:v>46076</x:v>
      </x:c>
    </x:row>
    <x:row r="1014">
      <x:c r="A1014" s="50" t="str">
        <x:v>EVT001011</x:v>
      </x:c>
      <x:c r="B1014" s="50" t="str">
        <x:v>SYN0507</x:v>
      </x:c>
      <x:c r="C1014" s="50" t="str">
        <x:v>coach_contact_completed</x:v>
      </x:c>
      <x:c r="D1014" s="51" t="n">
        <x:v>46034</x:v>
      </x:c>
    </x:row>
    <x:row r="1015">
      <x:c r="A1015" s="50" t="str">
        <x:v>EVT001012</x:v>
      </x:c>
      <x:c r="B1015" s="50" t="str">
        <x:v>SYN0507</x:v>
      </x:c>
      <x:c r="C1015" s="50" t="str">
        <x:v>day60_activity_observed</x:v>
      </x:c>
      <x:c r="D1015" s="51" t="n">
        <x:v>46094</x:v>
      </x:c>
    </x:row>
    <x:row r="1016">
      <x:c r="A1016" s="50" t="str">
        <x:v>EVT001013</x:v>
      </x:c>
      <x:c r="B1016" s="50" t="str">
        <x:v>SYN0508</x:v>
      </x:c>
      <x:c r="C1016" s="50" t="str">
        <x:v>coach_contact_completed</x:v>
      </x:c>
      <x:c r="D1016" s="51" t="n">
        <x:v>46196</x:v>
      </x:c>
    </x:row>
    <x:row r="1017">
      <x:c r="A1017" s="50" t="str">
        <x:v>EVT001014</x:v>
      </x:c>
      <x:c r="B1017" s="50" t="str">
        <x:v>SYN0509</x:v>
      </x:c>
      <x:c r="C1017" s="50" t="str">
        <x:v>coach_contact_completed</x:v>
      </x:c>
      <x:c r="D1017" s="51" t="n">
        <x:v>46026</x:v>
      </x:c>
    </x:row>
    <x:row r="1018">
      <x:c r="A1018" s="50" t="str">
        <x:v>EVT001015</x:v>
      </x:c>
      <x:c r="B1018" s="50" t="str">
        <x:v>SYN0509</x:v>
      </x:c>
      <x:c r="C1018" s="50" t="str">
        <x:v>day60_activity_observed</x:v>
      </x:c>
      <x:c r="D1018" s="51" t="n">
        <x:v>46094</x:v>
      </x:c>
    </x:row>
    <x:row r="1019">
      <x:c r="A1019" s="50" t="str">
        <x:v>EVT001016</x:v>
      </x:c>
      <x:c r="B1019" s="50" t="str">
        <x:v>SYN0510</x:v>
      </x:c>
      <x:c r="C1019" s="50" t="str">
        <x:v>coach_contact_completed</x:v>
      </x:c>
      <x:c r="D1019" s="51" t="n">
        <x:v>46087</x:v>
      </x:c>
    </x:row>
    <x:row r="1020">
      <x:c r="A1020" s="50" t="str">
        <x:v>EVT001017</x:v>
      </x:c>
      <x:c r="B1020" s="50" t="str">
        <x:v>SYN0510</x:v>
      </x:c>
      <x:c r="C1020" s="50" t="str">
        <x:v>day60_activity_observed</x:v>
      </x:c>
      <x:c r="D1020" s="51" t="n">
        <x:v>46144</x:v>
      </x:c>
    </x:row>
    <x:row r="1021">
      <x:c r="A1021" s="50" t="str">
        <x:v>EVT001018</x:v>
      </x:c>
      <x:c r="B1021" s="50" t="str">
        <x:v>SYN0511</x:v>
      </x:c>
      <x:c r="C1021" s="50" t="str">
        <x:v>coach_contact_completed</x:v>
      </x:c>
      <x:c r="D1021" s="51" t="n">
        <x:v>46255</x:v>
      </x:c>
    </x:row>
    <x:row r="1022">
      <x:c r="A1022" s="50" t="str">
        <x:v>EVT001019</x:v>
      </x:c>
      <x:c r="B1022" s="50" t="str">
        <x:v>SYN0511</x:v>
      </x:c>
      <x:c r="C1022" s="50" t="str">
        <x:v>day30_checkin_completed</x:v>
      </x:c>
      <x:c r="D1022" s="51" t="n">
        <x:v>46288</x:v>
      </x:c>
    </x:row>
    <x:row r="1023">
      <x:c r="A1023" s="50" t="str">
        <x:v>EVT001020</x:v>
      </x:c>
      <x:c r="B1023" s="50" t="str">
        <x:v>SYN0512</x:v>
      </x:c>
      <x:c r="C1023" s="50" t="str">
        <x:v>coach_contact_completed</x:v>
      </x:c>
      <x:c r="D1023" s="51" t="n">
        <x:v>46188</x:v>
      </x:c>
    </x:row>
    <x:row r="1024">
      <x:c r="A1024" s="50" t="str">
        <x:v>EVT001021</x:v>
      </x:c>
      <x:c r="B1024" s="50" t="str">
        <x:v>SYN0512</x:v>
      </x:c>
      <x:c r="C1024" s="50" t="str">
        <x:v>day30_checkin_completed</x:v>
      </x:c>
      <x:c r="D1024" s="51" t="n">
        <x:v>46212</x:v>
      </x:c>
    </x:row>
    <x:row r="1025">
      <x:c r="A1025" s="50" t="str">
        <x:v>EVT001022</x:v>
      </x:c>
      <x:c r="B1025" s="50" t="str">
        <x:v>SYN0513</x:v>
      </x:c>
      <x:c r="C1025" s="50" t="str">
        <x:v>coach_contact_completed</x:v>
      </x:c>
      <x:c r="D1025" s="51" t="n">
        <x:v>46159</x:v>
      </x:c>
    </x:row>
    <x:row r="1026">
      <x:c r="A1026" s="50" t="str">
        <x:v>EVT001023</x:v>
      </x:c>
      <x:c r="B1026" s="50" t="str">
        <x:v>SYN0513</x:v>
      </x:c>
      <x:c r="C1026" s="50" t="str">
        <x:v>day30_checkin_completed</x:v>
      </x:c>
      <x:c r="D1026" s="51" t="n">
        <x:v>46179</x:v>
      </x:c>
    </x:row>
    <x:row r="1027">
      <x:c r="A1027" s="50" t="str">
        <x:v>EVT001024</x:v>
      </x:c>
      <x:c r="B1027" s="50" t="str">
        <x:v>SYN0513</x:v>
      </x:c>
      <x:c r="C1027" s="50" t="str">
        <x:v>day60_activity_observed</x:v>
      </x:c>
      <x:c r="D1027" s="51" t="n">
        <x:v>46218</x:v>
      </x:c>
    </x:row>
    <x:row r="1028">
      <x:c r="A1028" s="50" t="str">
        <x:v>EVT001025</x:v>
      </x:c>
      <x:c r="B1028" s="50" t="str">
        <x:v>SYN0514</x:v>
      </x:c>
      <x:c r="C1028" s="50" t="str">
        <x:v>coach_contact_completed</x:v>
      </x:c>
      <x:c r="D1028" s="51" t="n">
        <x:v>46230</x:v>
      </x:c>
    </x:row>
    <x:row r="1029">
      <x:c r="A1029" s="50" t="str">
        <x:v>EVT001026</x:v>
      </x:c>
      <x:c r="B1029" s="50" t="str">
        <x:v>SYN0514</x:v>
      </x:c>
      <x:c r="C1029" s="50" t="str">
        <x:v>day60_activity_observed</x:v>
      </x:c>
      <x:c r="D1029" s="51" t="n">
        <x:v>46286</x:v>
      </x:c>
    </x:row>
    <x:row r="1030">
      <x:c r="A1030" s="50" t="str">
        <x:v>EVT001027</x:v>
      </x:c>
      <x:c r="B1030" s="50" t="str">
        <x:v>SYN0515</x:v>
      </x:c>
      <x:c r="C1030" s="50" t="str">
        <x:v>coach_contact_completed</x:v>
      </x:c>
      <x:c r="D1030" s="51" t="n">
        <x:v>46114</x:v>
      </x:c>
    </x:row>
    <x:row r="1031">
      <x:c r="A1031" s="50" t="str">
        <x:v>EVT001028</x:v>
      </x:c>
      <x:c r="B1031" s="50" t="str">
        <x:v>SYN0515</x:v>
      </x:c>
      <x:c r="C1031" s="50" t="str">
        <x:v>day30_checkin_completed</x:v>
      </x:c>
      <x:c r="D1031" s="51" t="n">
        <x:v>46146</x:v>
      </x:c>
    </x:row>
    <x:row r="1032">
      <x:c r="A1032" s="50" t="str">
        <x:v>EVT001029</x:v>
      </x:c>
      <x:c r="B1032" s="50" t="str">
        <x:v>SYN0515</x:v>
      </x:c>
      <x:c r="C1032" s="50" t="str">
        <x:v>day60_activity_observed</x:v>
      </x:c>
      <x:c r="D1032" s="51" t="n">
        <x:v>46178</x:v>
      </x:c>
    </x:row>
    <x:row r="1033">
      <x:c r="A1033" s="50" t="str">
        <x:v>EVT001030</x:v>
      </x:c>
      <x:c r="B1033" s="50" t="str">
        <x:v>SYN0516</x:v>
      </x:c>
      <x:c r="C1033" s="50" t="str">
        <x:v>day30_checkin_completed</x:v>
      </x:c>
      <x:c r="D1033" s="51" t="n">
        <x:v>46171</x:v>
      </x:c>
    </x:row>
    <x:row r="1034">
      <x:c r="A1034" s="50" t="str">
        <x:v>EVT001031</x:v>
      </x:c>
      <x:c r="B1034" s="50" t="str">
        <x:v>SYN0517</x:v>
      </x:c>
      <x:c r="C1034" s="50" t="str">
        <x:v>coach_contact_completed</x:v>
      </x:c>
      <x:c r="D1034" s="51" t="n">
        <x:v>46237</x:v>
      </x:c>
    </x:row>
    <x:row r="1035">
      <x:c r="A1035" s="50" t="str">
        <x:v>EVT001032</x:v>
      </x:c>
      <x:c r="B1035" s="50" t="str">
        <x:v>SYN0517</x:v>
      </x:c>
      <x:c r="C1035" s="50" t="str">
        <x:v>day30_checkin_completed</x:v>
      </x:c>
      <x:c r="D1035" s="51" t="n">
        <x:v>46261</x:v>
      </x:c>
    </x:row>
    <x:row r="1036">
      <x:c r="A1036" s="50" t="str">
        <x:v>EVT001033</x:v>
      </x:c>
      <x:c r="B1036" s="50" t="str">
        <x:v>SYN0518</x:v>
      </x:c>
      <x:c r="C1036" s="50" t="str">
        <x:v>coach_contact_completed</x:v>
      </x:c>
      <x:c r="D1036" s="51" t="n">
        <x:v>46254</x:v>
      </x:c>
    </x:row>
    <x:row r="1037">
      <x:c r="A1037" s="50" t="str">
        <x:v>EVT001034</x:v>
      </x:c>
      <x:c r="B1037" s="50" t="str">
        <x:v>SYN0518</x:v>
      </x:c>
      <x:c r="C1037" s="50" t="str">
        <x:v>day30_checkin_completed</x:v>
      </x:c>
      <x:c r="D1037" s="51" t="n">
        <x:v>46284</x:v>
      </x:c>
    </x:row>
    <x:row r="1038">
      <x:c r="A1038" s="50" t="str">
        <x:v>EVT001035</x:v>
      </x:c>
      <x:c r="B1038" s="50" t="str">
        <x:v>SYN0519</x:v>
      </x:c>
      <x:c r="C1038" s="50" t="str">
        <x:v>coach_contact_completed</x:v>
      </x:c>
      <x:c r="D1038" s="51" t="n">
        <x:v>46258</x:v>
      </x:c>
    </x:row>
    <x:row r="1039">
      <x:c r="A1039" s="50" t="str">
        <x:v>EVT001036</x:v>
      </x:c>
      <x:c r="B1039" s="50" t="str">
        <x:v>SYN0519</x:v>
      </x:c>
      <x:c r="C1039" s="50" t="str">
        <x:v>day30_checkin_completed</x:v>
      </x:c>
      <x:c r="D1039" s="51" t="n">
        <x:v>46286</x:v>
      </x:c>
    </x:row>
    <x:row r="1040">
      <x:c r="A1040" s="50" t="str">
        <x:v>EVT001037</x:v>
      </x:c>
      <x:c r="B1040" s="50" t="str">
        <x:v>SYN0520</x:v>
      </x:c>
      <x:c r="C1040" s="50" t="str">
        <x:v>day30_checkin_completed</x:v>
      </x:c>
      <x:c r="D1040" s="51" t="n">
        <x:v>46140</x:v>
      </x:c>
    </x:row>
    <x:row r="1041">
      <x:c r="A1041" s="50" t="str">
        <x:v>EVT001038</x:v>
      </x:c>
      <x:c r="B1041" s="50" t="str">
        <x:v>SYN0521</x:v>
      </x:c>
      <x:c r="C1041" s="50" t="str">
        <x:v>coach_contact_completed</x:v>
      </x:c>
      <x:c r="D1041" s="51" t="n">
        <x:v>46202</x:v>
      </x:c>
    </x:row>
    <x:row r="1042">
      <x:c r="A1042" s="50" t="str">
        <x:v>EVT001039</x:v>
      </x:c>
      <x:c r="B1042" s="50" t="str">
        <x:v>SYN0521</x:v>
      </x:c>
      <x:c r="C1042" s="50" t="str">
        <x:v>day30_checkin_completed</x:v>
      </x:c>
      <x:c r="D1042" s="51" t="n">
        <x:v>46227</x:v>
      </x:c>
    </x:row>
    <x:row r="1043">
      <x:c r="A1043" s="50" t="str">
        <x:v>EVT001040</x:v>
      </x:c>
      <x:c r="B1043" s="50" t="str">
        <x:v>SYN0521</x:v>
      </x:c>
      <x:c r="C1043" s="50" t="str">
        <x:v>day60_activity_observed</x:v>
      </x:c>
      <x:c r="D1043" s="51" t="n">
        <x:v>46264</x:v>
      </x:c>
    </x:row>
    <x:row r="1044">
      <x:c r="A1044" s="50" t="str">
        <x:v>EVT001041</x:v>
      </x:c>
      <x:c r="B1044" s="50" t="str">
        <x:v>SYN0523</x:v>
      </x:c>
      <x:c r="C1044" s="50" t="str">
        <x:v>coach_contact_completed</x:v>
      </x:c>
      <x:c r="D1044" s="51" t="n">
        <x:v>46043</x:v>
      </x:c>
    </x:row>
    <x:row r="1045">
      <x:c r="A1045" s="50" t="str">
        <x:v>EVT001042</x:v>
      </x:c>
      <x:c r="B1045" s="50" t="str">
        <x:v>SYN0523</x:v>
      </x:c>
      <x:c r="C1045" s="50" t="str">
        <x:v>day30_checkin_completed</x:v>
      </x:c>
      <x:c r="D1045" s="51" t="n">
        <x:v>46068</x:v>
      </x:c>
    </x:row>
    <x:row r="1046">
      <x:c r="A1046" s="50" t="str">
        <x:v>EVT001043</x:v>
      </x:c>
      <x:c r="B1046" s="50" t="str">
        <x:v>SYN0524</x:v>
      </x:c>
      <x:c r="C1046" s="50" t="str">
        <x:v>coach_contact_completed</x:v>
      </x:c>
      <x:c r="D1046" s="51" t="n">
        <x:v>46188</x:v>
      </x:c>
    </x:row>
    <x:row r="1047">
      <x:c r="A1047" s="50" t="str">
        <x:v>EVT001044</x:v>
      </x:c>
      <x:c r="B1047" s="50" t="str">
        <x:v>SYN0524</x:v>
      </x:c>
      <x:c r="C1047" s="50" t="str">
        <x:v>day30_checkin_completed</x:v>
      </x:c>
      <x:c r="D1047" s="51" t="n">
        <x:v>46222</x:v>
      </x:c>
    </x:row>
    <x:row r="1048">
      <x:c r="A1048" s="50" t="str">
        <x:v>EVT001045</x:v>
      </x:c>
      <x:c r="B1048" s="50" t="str">
        <x:v>SYN0525</x:v>
      </x:c>
      <x:c r="C1048" s="50" t="str">
        <x:v>coach_contact_completed</x:v>
      </x:c>
      <x:c r="D1048" s="51" t="n">
        <x:v>46084</x:v>
      </x:c>
    </x:row>
    <x:row r="1049">
      <x:c r="A1049" s="50" t="str">
        <x:v>EVT001046</x:v>
      </x:c>
      <x:c r="B1049" s="50" t="str">
        <x:v>SYN0525</x:v>
      </x:c>
      <x:c r="C1049" s="50" t="str">
        <x:v>day30_checkin_completed</x:v>
      </x:c>
      <x:c r="D1049" s="51" t="n">
        <x:v>46116</x:v>
      </x:c>
    </x:row>
    <x:row r="1050">
      <x:c r="A1050" s="50" t="str">
        <x:v>EVT001047</x:v>
      </x:c>
      <x:c r="B1050" s="50" t="str">
        <x:v>SYN0525</x:v>
      </x:c>
      <x:c r="C1050" s="50" t="str">
        <x:v>day60_activity_observed</x:v>
      </x:c>
      <x:c r="D1050" s="51" t="n">
        <x:v>46139</x:v>
      </x:c>
    </x:row>
    <x:row r="1051">
      <x:c r="A1051" s="50" t="str">
        <x:v>EVT001048</x:v>
      </x:c>
      <x:c r="B1051" s="50" t="str">
        <x:v>SYN0526</x:v>
      </x:c>
      <x:c r="C1051" s="50" t="str">
        <x:v>coach_contact_completed</x:v>
      </x:c>
      <x:c r="D1051" s="51" t="n">
        <x:v>46106</x:v>
      </x:c>
    </x:row>
    <x:row r="1052">
      <x:c r="A1052" s="50" t="str">
        <x:v>EVT001049</x:v>
      </x:c>
      <x:c r="B1052" s="50" t="str">
        <x:v>SYN0526</x:v>
      </x:c>
      <x:c r="C1052" s="50" t="str">
        <x:v>day30_checkin_completed</x:v>
      </x:c>
      <x:c r="D1052" s="51" t="n">
        <x:v>46129</x:v>
      </x:c>
    </x:row>
    <x:row r="1053">
      <x:c r="A1053" s="50" t="str">
        <x:v>EVT001050</x:v>
      </x:c>
      <x:c r="B1053" s="50" t="str">
        <x:v>SYN0527</x:v>
      </x:c>
      <x:c r="C1053" s="50" t="str">
        <x:v>coach_contact_completed</x:v>
      </x:c>
      <x:c r="D1053" s="51" t="n">
        <x:v>46082</x:v>
      </x:c>
    </x:row>
    <x:row r="1054">
      <x:c r="A1054" s="50" t="str">
        <x:v>EVT001051</x:v>
      </x:c>
      <x:c r="B1054" s="50" t="str">
        <x:v>SYN0527</x:v>
      </x:c>
      <x:c r="C1054" s="50" t="str">
        <x:v>day60_activity_observed</x:v>
      </x:c>
      <x:c r="D1054" s="51" t="n">
        <x:v>46139</x:v>
      </x:c>
    </x:row>
    <x:row r="1055">
      <x:c r="A1055" s="50" t="str">
        <x:v>EVT001052</x:v>
      </x:c>
      <x:c r="B1055" s="50" t="str">
        <x:v>SYN0528</x:v>
      </x:c>
      <x:c r="C1055" s="50" t="str">
        <x:v>day30_checkin_completed</x:v>
      </x:c>
      <x:c r="D1055" s="51" t="n">
        <x:v>46226</x:v>
      </x:c>
    </x:row>
    <x:row r="1056">
      <x:c r="A1056" s="50" t="str">
        <x:v>EVT001053</x:v>
      </x:c>
      <x:c r="B1056" s="50" t="str">
        <x:v>SYN0529</x:v>
      </x:c>
      <x:c r="C1056" s="50" t="str">
        <x:v>day60_activity_observed</x:v>
      </x:c>
      <x:c r="D1056" s="51" t="n">
        <x:v>46211</x:v>
      </x:c>
    </x:row>
    <x:row r="1057">
      <x:c r="A1057" s="50" t="str">
        <x:v>EVT001054</x:v>
      </x:c>
      <x:c r="B1057" s="50" t="str">
        <x:v>SYN0530</x:v>
      </x:c>
      <x:c r="C1057" s="50" t="str">
        <x:v>coach_contact_completed</x:v>
      </x:c>
      <x:c r="D1057" s="51" t="n">
        <x:v>46074</x:v>
      </x:c>
    </x:row>
    <x:row r="1058">
      <x:c r="A1058" s="50" t="str">
        <x:v>EVT001055</x:v>
      </x:c>
      <x:c r="B1058" s="50" t="str">
        <x:v>SYN0531</x:v>
      </x:c>
      <x:c r="C1058" s="50" t="str">
        <x:v>coach_contact_completed</x:v>
      </x:c>
      <x:c r="D1058" s="51" t="n">
        <x:v>46069</x:v>
      </x:c>
    </x:row>
    <x:row r="1059">
      <x:c r="A1059" s="50" t="str">
        <x:v>EVT001056</x:v>
      </x:c>
      <x:c r="B1059" s="50" t="str">
        <x:v>SYN0531</x:v>
      </x:c>
      <x:c r="C1059" s="50" t="str">
        <x:v>day30_checkin_completed</x:v>
      </x:c>
      <x:c r="D1059" s="51" t="n">
        <x:v>46093</x:v>
      </x:c>
    </x:row>
    <x:row r="1060">
      <x:c r="A1060" s="50" t="str">
        <x:v>EVT001057</x:v>
      </x:c>
      <x:c r="B1060" s="50" t="str">
        <x:v>SYN0532</x:v>
      </x:c>
      <x:c r="C1060" s="50" t="str">
        <x:v>coach_contact_completed</x:v>
      </x:c>
      <x:c r="D1060" s="51" t="n">
        <x:v>46155</x:v>
      </x:c>
    </x:row>
    <x:row r="1061">
      <x:c r="A1061" s="50" t="str">
        <x:v>EVT001058</x:v>
      </x:c>
      <x:c r="B1061" s="50" t="str">
        <x:v>SYN0532</x:v>
      </x:c>
      <x:c r="C1061" s="50" t="str">
        <x:v>day30_checkin_completed</x:v>
      </x:c>
      <x:c r="D1061" s="51" t="n">
        <x:v>46190</x:v>
      </x:c>
    </x:row>
    <x:row r="1062">
      <x:c r="A1062" s="50" t="str">
        <x:v>EVT001059</x:v>
      </x:c>
      <x:c r="B1062" s="50" t="str">
        <x:v>SYN0533</x:v>
      </x:c>
      <x:c r="C1062" s="50" t="str">
        <x:v>day30_checkin_completed</x:v>
      </x:c>
      <x:c r="D1062" s="51" t="n">
        <x:v>46200</x:v>
      </x:c>
    </x:row>
    <x:row r="1063">
      <x:c r="A1063" s="50" t="str">
        <x:v>EVT001060</x:v>
      </x:c>
      <x:c r="B1063" s="50" t="str">
        <x:v>SYN0533</x:v>
      </x:c>
      <x:c r="C1063" s="50" t="str">
        <x:v>day60_activity_observed</x:v>
      </x:c>
      <x:c r="D1063" s="51" t="n">
        <x:v>46238</x:v>
      </x:c>
    </x:row>
    <x:row r="1064">
      <x:c r="A1064" s="50" t="str">
        <x:v>EVT001061</x:v>
      </x:c>
      <x:c r="B1064" s="50" t="str">
        <x:v>SYN0535</x:v>
      </x:c>
      <x:c r="C1064" s="50" t="str">
        <x:v>day30_checkin_completed</x:v>
      </x:c>
      <x:c r="D1064" s="51" t="n">
        <x:v>46231</x:v>
      </x:c>
    </x:row>
    <x:row r="1065">
      <x:c r="A1065" s="50" t="str">
        <x:v>EVT001062</x:v>
      </x:c>
      <x:c r="B1065" s="50" t="str">
        <x:v>SYN0535</x:v>
      </x:c>
      <x:c r="C1065" s="50" t="str">
        <x:v>day60_activity_observed</x:v>
      </x:c>
      <x:c r="D1065" s="51" t="n">
        <x:v>46266</x:v>
      </x:c>
    </x:row>
    <x:row r="1066">
      <x:c r="A1066" s="50" t="str">
        <x:v>EVT001063</x:v>
      </x:c>
      <x:c r="B1066" s="50" t="str">
        <x:v>SYN0537</x:v>
      </x:c>
      <x:c r="C1066" s="50" t="str">
        <x:v>coach_contact_completed</x:v>
      </x:c>
      <x:c r="D1066" s="51" t="n">
        <x:v>46047</x:v>
      </x:c>
    </x:row>
    <x:row r="1067">
      <x:c r="A1067" s="50" t="str">
        <x:v>EVT001064</x:v>
      </x:c>
      <x:c r="B1067" s="50" t="str">
        <x:v>SYN0537</x:v>
      </x:c>
      <x:c r="C1067" s="50" t="str">
        <x:v>day60_activity_observed</x:v>
      </x:c>
      <x:c r="D1067" s="51" t="n">
        <x:v>46110</x:v>
      </x:c>
    </x:row>
    <x:row r="1068">
      <x:c r="A1068" s="50" t="str">
        <x:v>EVT001065</x:v>
      </x:c>
      <x:c r="B1068" s="50" t="str">
        <x:v>SYN0538</x:v>
      </x:c>
      <x:c r="C1068" s="50" t="str">
        <x:v>coach_contact_completed</x:v>
      </x:c>
      <x:c r="D1068" s="51" t="n">
        <x:v>46151</x:v>
      </x:c>
    </x:row>
    <x:row r="1069">
      <x:c r="A1069" s="50" t="str">
        <x:v>EVT001066</x:v>
      </x:c>
      <x:c r="B1069" s="50" t="str">
        <x:v>SYN0538</x:v>
      </x:c>
      <x:c r="C1069" s="50" t="str">
        <x:v>day30_checkin_completed</x:v>
      </x:c>
      <x:c r="D1069" s="51" t="n">
        <x:v>46174</x:v>
      </x:c>
    </x:row>
    <x:row r="1070">
      <x:c r="A1070" s="50" t="str">
        <x:v>EVT001067</x:v>
      </x:c>
      <x:c r="B1070" s="50" t="str">
        <x:v>SYN0538</x:v>
      </x:c>
      <x:c r="C1070" s="50" t="str">
        <x:v>day60_activity_observed</x:v>
      </x:c>
      <x:c r="D1070" s="51" t="n">
        <x:v>46207</x:v>
      </x:c>
    </x:row>
    <x:row r="1071">
      <x:c r="A1071" s="50" t="str">
        <x:v>EVT001068</x:v>
      </x:c>
      <x:c r="B1071" s="50" t="str">
        <x:v>SYN0539</x:v>
      </x:c>
      <x:c r="C1071" s="50" t="str">
        <x:v>coach_contact_completed</x:v>
      </x:c>
      <x:c r="D1071" s="51" t="n">
        <x:v>46097</x:v>
      </x:c>
    </x:row>
    <x:row r="1072">
      <x:c r="A1072" s="50" t="str">
        <x:v>EVT001069</x:v>
      </x:c>
      <x:c r="B1072" s="50" t="str">
        <x:v>SYN0540</x:v>
      </x:c>
      <x:c r="C1072" s="50" t="str">
        <x:v>coach_contact_completed</x:v>
      </x:c>
      <x:c r="D1072" s="51" t="n">
        <x:v>46178</x:v>
      </x:c>
    </x:row>
    <x:row r="1073">
      <x:c r="A1073" s="50" t="str">
        <x:v>EVT001070</x:v>
      </x:c>
      <x:c r="B1073" s="50" t="str">
        <x:v>SYN0540</x:v>
      </x:c>
      <x:c r="C1073" s="50" t="str">
        <x:v>day60_activity_observed</x:v>
      </x:c>
      <x:c r="D1073" s="51" t="n">
        <x:v>46245</x:v>
      </x:c>
    </x:row>
    <x:row r="1074">
      <x:c r="A1074" s="50" t="str">
        <x:v>EVT001071</x:v>
      </x:c>
      <x:c r="B1074" s="50" t="str">
        <x:v>SYN0541</x:v>
      </x:c>
      <x:c r="C1074" s="50" t="str">
        <x:v>day30_checkin_completed</x:v>
      </x:c>
      <x:c r="D1074" s="51" t="n">
        <x:v>46221</x:v>
      </x:c>
    </x:row>
    <x:row r="1075">
      <x:c r="A1075" s="50" t="str">
        <x:v>EVT001072</x:v>
      </x:c>
      <x:c r="B1075" s="50" t="str">
        <x:v>SYN0541</x:v>
      </x:c>
      <x:c r="C1075" s="50" t="str">
        <x:v>day60_activity_observed</x:v>
      </x:c>
      <x:c r="D1075" s="51" t="n">
        <x:v>46246</x:v>
      </x:c>
    </x:row>
    <x:row r="1076">
      <x:c r="A1076" s="50" t="str">
        <x:v>EVT001073</x:v>
      </x:c>
      <x:c r="B1076" s="50" t="str">
        <x:v>SYN0542</x:v>
      </x:c>
      <x:c r="C1076" s="50" t="str">
        <x:v>coach_contact_completed</x:v>
      </x:c>
      <x:c r="D1076" s="51" t="n">
        <x:v>46108</x:v>
      </x:c>
    </x:row>
    <x:row r="1077">
      <x:c r="A1077" s="50" t="str">
        <x:v>EVT001074</x:v>
      </x:c>
      <x:c r="B1077" s="50" t="str">
        <x:v>SYN0542</x:v>
      </x:c>
      <x:c r="C1077" s="50" t="str">
        <x:v>day30_checkin_completed</x:v>
      </x:c>
      <x:c r="D1077" s="51" t="n">
        <x:v>46135</x:v>
      </x:c>
    </x:row>
    <x:row r="1078">
      <x:c r="A1078" s="50" t="str">
        <x:v>EVT001075</x:v>
      </x:c>
      <x:c r="B1078" s="50" t="str">
        <x:v>SYN0542</x:v>
      </x:c>
      <x:c r="C1078" s="50" t="str">
        <x:v>day60_activity_observed</x:v>
      </x:c>
      <x:c r="D1078" s="51" t="n">
        <x:v>46169</x:v>
      </x:c>
    </x:row>
    <x:row r="1079">
      <x:c r="A1079" s="50" t="str">
        <x:v>EVT001076</x:v>
      </x:c>
      <x:c r="B1079" s="50" t="str">
        <x:v>SYN0543</x:v>
      </x:c>
      <x:c r="C1079" s="50" t="str">
        <x:v>coach_contact_completed</x:v>
      </x:c>
      <x:c r="D1079" s="51" t="n">
        <x:v>46092</x:v>
      </x:c>
    </x:row>
    <x:row r="1080">
      <x:c r="A1080" s="50" t="str">
        <x:v>EVT001077</x:v>
      </x:c>
      <x:c r="B1080" s="50" t="str">
        <x:v>SYN0543</x:v>
      </x:c>
      <x:c r="C1080" s="50" t="str">
        <x:v>day30_checkin_completed</x:v>
      </x:c>
      <x:c r="D1080" s="51" t="n">
        <x:v>46120</x:v>
      </x:c>
    </x:row>
    <x:row r="1081">
      <x:c r="A1081" s="50" t="str">
        <x:v>EVT001078</x:v>
      </x:c>
      <x:c r="B1081" s="50" t="str">
        <x:v>SYN0543</x:v>
      </x:c>
      <x:c r="C1081" s="50" t="str">
        <x:v>day60_activity_observed</x:v>
      </x:c>
      <x:c r="D1081" s="51" t="n">
        <x:v>46150</x:v>
      </x:c>
    </x:row>
    <x:row r="1082">
      <x:c r="A1082" s="50" t="str">
        <x:v>EVT001079</x:v>
      </x:c>
      <x:c r="B1082" s="50" t="str">
        <x:v>SYN0544</x:v>
      </x:c>
      <x:c r="C1082" s="50" t="str">
        <x:v>coach_contact_completed</x:v>
      </x:c>
      <x:c r="D1082" s="51" t="n">
        <x:v>46175</x:v>
      </x:c>
    </x:row>
    <x:row r="1083">
      <x:c r="A1083" s="50" t="str">
        <x:v>EVT001080</x:v>
      </x:c>
      <x:c r="B1083" s="50" t="str">
        <x:v>SYN0544</x:v>
      </x:c>
      <x:c r="C1083" s="50" t="str">
        <x:v>day30_checkin_completed</x:v>
      </x:c>
      <x:c r="D1083" s="51" t="n">
        <x:v>46198</x:v>
      </x:c>
    </x:row>
    <x:row r="1084">
      <x:c r="A1084" s="50" t="str">
        <x:v>EVT001081</x:v>
      </x:c>
      <x:c r="B1084" s="50" t="str">
        <x:v>SYN0545</x:v>
      </x:c>
      <x:c r="C1084" s="50" t="str">
        <x:v>coach_contact_completed</x:v>
      </x:c>
      <x:c r="D1084" s="51" t="n">
        <x:v>46227</x:v>
      </x:c>
    </x:row>
    <x:row r="1085">
      <x:c r="A1085" s="50" t="str">
        <x:v>EVT001082</x:v>
      </x:c>
      <x:c r="B1085" s="50" t="str">
        <x:v>SYN0545</x:v>
      </x:c>
      <x:c r="C1085" s="50" t="str">
        <x:v>day30_checkin_completed</x:v>
      </x:c>
      <x:c r="D1085" s="51" t="n">
        <x:v>46255</x:v>
      </x:c>
    </x:row>
    <x:row r="1086">
      <x:c r="A1086" s="50" t="str">
        <x:v>EVT001083</x:v>
      </x:c>
      <x:c r="B1086" s="50" t="str">
        <x:v>SYN0546</x:v>
      </x:c>
      <x:c r="C1086" s="50" t="str">
        <x:v>coach_contact_completed</x:v>
      </x:c>
      <x:c r="D1086" s="51" t="n">
        <x:v>46108</x:v>
      </x:c>
    </x:row>
    <x:row r="1087">
      <x:c r="A1087" s="50" t="str">
        <x:v>EVT001084</x:v>
      </x:c>
      <x:c r="B1087" s="50" t="str">
        <x:v>SYN0546</x:v>
      </x:c>
      <x:c r="C1087" s="50" t="str">
        <x:v>day30_checkin_completed</x:v>
      </x:c>
      <x:c r="D1087" s="51" t="n">
        <x:v>46136</x:v>
      </x:c>
    </x:row>
    <x:row r="1088">
      <x:c r="A1088" s="50" t="str">
        <x:v>EVT001085</x:v>
      </x:c>
      <x:c r="B1088" s="50" t="str">
        <x:v>SYN0546</x:v>
      </x:c>
      <x:c r="C1088" s="50" t="str">
        <x:v>day60_activity_observed</x:v>
      </x:c>
      <x:c r="D1088" s="51" t="n">
        <x:v>46165</x:v>
      </x:c>
    </x:row>
    <x:row r="1089">
      <x:c r="A1089" s="50" t="str">
        <x:v>EVT001086</x:v>
      </x:c>
      <x:c r="B1089" s="50" t="str">
        <x:v>SYN0547</x:v>
      </x:c>
      <x:c r="C1089" s="50" t="str">
        <x:v>coach_contact_completed</x:v>
      </x:c>
      <x:c r="D1089" s="51" t="n">
        <x:v>46081</x:v>
      </x:c>
    </x:row>
    <x:row r="1090">
      <x:c r="A1090" s="50" t="str">
        <x:v>EVT001087</x:v>
      </x:c>
      <x:c r="B1090" s="50" t="str">
        <x:v>SYN0547</x:v>
      </x:c>
      <x:c r="C1090" s="50" t="str">
        <x:v>day30_checkin_completed</x:v>
      </x:c>
      <x:c r="D1090" s="51" t="n">
        <x:v>46114</x:v>
      </x:c>
    </x:row>
    <x:row r="1091">
      <x:c r="A1091" s="50" t="str">
        <x:v>EVT001088</x:v>
      </x:c>
      <x:c r="B1091" s="50" t="str">
        <x:v>SYN0548</x:v>
      </x:c>
      <x:c r="C1091" s="50" t="str">
        <x:v>coach_contact_completed</x:v>
      </x:c>
      <x:c r="D1091" s="51" t="n">
        <x:v>46191</x:v>
      </x:c>
    </x:row>
    <x:row r="1092">
      <x:c r="A1092" s="50" t="str">
        <x:v>EVT001089</x:v>
      </x:c>
      <x:c r="B1092" s="50" t="str">
        <x:v>SYN0548</x:v>
      </x:c>
      <x:c r="C1092" s="50" t="str">
        <x:v>day30_checkin_completed</x:v>
      </x:c>
      <x:c r="D1092" s="51" t="n">
        <x:v>46224</x:v>
      </x:c>
    </x:row>
    <x:row r="1093">
      <x:c r="A1093" s="50" t="str">
        <x:v>EVT001090</x:v>
      </x:c>
      <x:c r="B1093" s="50" t="str">
        <x:v>SYN0548</x:v>
      </x:c>
      <x:c r="C1093" s="50" t="str">
        <x:v>day60_activity_observed</x:v>
      </x:c>
      <x:c r="D1093" s="51" t="n">
        <x:v>46265</x:v>
      </x:c>
    </x:row>
    <x:row r="1094">
      <x:c r="A1094" s="50" t="str">
        <x:v>EVT001091</x:v>
      </x:c>
      <x:c r="B1094" s="50" t="str">
        <x:v>SYN0549</x:v>
      </x:c>
      <x:c r="C1094" s="50" t="str">
        <x:v>day30_checkin_completed</x:v>
      </x:c>
      <x:c r="D1094" s="51" t="n">
        <x:v>46074</x:v>
      </x:c>
    </x:row>
    <x:row r="1095">
      <x:c r="A1095" s="50" t="str">
        <x:v>EVT001092</x:v>
      </x:c>
      <x:c r="B1095" s="50" t="str">
        <x:v>SYN0552</x:v>
      </x:c>
      <x:c r="C1095" s="50" t="str">
        <x:v>day30_checkin_completed</x:v>
      </x:c>
      <x:c r="D1095" s="51" t="n">
        <x:v>46126</x:v>
      </x:c>
    </x:row>
    <x:row r="1096">
      <x:c r="A1096" s="50" t="str">
        <x:v>EVT001093</x:v>
      </x:c>
      <x:c r="B1096" s="50" t="str">
        <x:v>SYN0552</x:v>
      </x:c>
      <x:c r="C1096" s="50" t="str">
        <x:v>day60_activity_observed</x:v>
      </x:c>
      <x:c r="D1096" s="51" t="n">
        <x:v>46158</x:v>
      </x:c>
    </x:row>
    <x:row r="1097">
      <x:c r="A1097" s="50" t="str">
        <x:v>EVT001094</x:v>
      </x:c>
      <x:c r="B1097" s="50" t="str">
        <x:v>SYN0553</x:v>
      </x:c>
      <x:c r="C1097" s="50" t="str">
        <x:v>coach_contact_completed</x:v>
      </x:c>
      <x:c r="D1097" s="51" t="n">
        <x:v>46190</x:v>
      </x:c>
    </x:row>
    <x:row r="1098">
      <x:c r="A1098" s="50" t="str">
        <x:v>EVT001095</x:v>
      </x:c>
      <x:c r="B1098" s="50" t="str">
        <x:v>SYN0553</x:v>
      </x:c>
      <x:c r="C1098" s="50" t="str">
        <x:v>day30_checkin_completed</x:v>
      </x:c>
      <x:c r="D1098" s="51" t="n">
        <x:v>46211</x:v>
      </x:c>
    </x:row>
    <x:row r="1099">
      <x:c r="A1099" s="50" t="str">
        <x:v>EVT001096</x:v>
      </x:c>
      <x:c r="B1099" s="50" t="str">
        <x:v>SYN0553</x:v>
      </x:c>
      <x:c r="C1099" s="50" t="str">
        <x:v>day60_activity_observed</x:v>
      </x:c>
      <x:c r="D1099" s="51" t="n">
        <x:v>46241</x:v>
      </x:c>
    </x:row>
    <x:row r="1100">
      <x:c r="A1100" s="50" t="str">
        <x:v>EVT001097</x:v>
      </x:c>
      <x:c r="B1100" s="50" t="str">
        <x:v>SYN0554</x:v>
      </x:c>
      <x:c r="C1100" s="50" t="str">
        <x:v>coach_contact_completed</x:v>
      </x:c>
      <x:c r="D1100" s="51" t="n">
        <x:v>46199</x:v>
      </x:c>
    </x:row>
    <x:row r="1101">
      <x:c r="A1101" s="50" t="str">
        <x:v>EVT001098</x:v>
      </x:c>
      <x:c r="B1101" s="50" t="str">
        <x:v>SYN0554</x:v>
      </x:c>
      <x:c r="C1101" s="50" t="str">
        <x:v>day30_checkin_completed</x:v>
      </x:c>
      <x:c r="D1101" s="51" t="n">
        <x:v>46226</x:v>
      </x:c>
    </x:row>
    <x:row r="1102">
      <x:c r="A1102" s="50" t="str">
        <x:v>EVT001099</x:v>
      </x:c>
      <x:c r="B1102" s="50" t="str">
        <x:v>SYN0554</x:v>
      </x:c>
      <x:c r="C1102" s="50" t="str">
        <x:v>day60_activity_observed</x:v>
      </x:c>
      <x:c r="D1102" s="51" t="n">
        <x:v>46261</x:v>
      </x:c>
    </x:row>
    <x:row r="1103">
      <x:c r="A1103" s="50" t="str">
        <x:v>EVT001100</x:v>
      </x:c>
      <x:c r="B1103" s="50" t="str">
        <x:v>SYN0555</x:v>
      </x:c>
      <x:c r="C1103" s="50" t="str">
        <x:v>coach_contact_completed</x:v>
      </x:c>
      <x:c r="D1103" s="51" t="n">
        <x:v>46142</x:v>
      </x:c>
    </x:row>
    <x:row r="1104">
      <x:c r="A1104" s="50" t="str">
        <x:v>EVT001101</x:v>
      </x:c>
      <x:c r="B1104" s="50" t="str">
        <x:v>SYN0555</x:v>
      </x:c>
      <x:c r="C1104" s="50" t="str">
        <x:v>day30_checkin_completed</x:v>
      </x:c>
      <x:c r="D1104" s="51" t="n">
        <x:v>46163</x:v>
      </x:c>
    </x:row>
    <x:row r="1105">
      <x:c r="A1105" s="50" t="str">
        <x:v>EVT001102</x:v>
      </x:c>
      <x:c r="B1105" s="50" t="str">
        <x:v>SYN0555</x:v>
      </x:c>
      <x:c r="C1105" s="50" t="str">
        <x:v>day60_activity_observed</x:v>
      </x:c>
      <x:c r="D1105" s="51" t="n">
        <x:v>46207</x:v>
      </x:c>
    </x:row>
    <x:row r="1106">
      <x:c r="A1106" s="50" t="str">
        <x:v>EVT001103</x:v>
      </x:c>
      <x:c r="B1106" s="50" t="str">
        <x:v>SYN0556</x:v>
      </x:c>
      <x:c r="C1106" s="50" t="str">
        <x:v>coach_contact_completed</x:v>
      </x:c>
      <x:c r="D1106" s="51" t="n">
        <x:v>46271</x:v>
      </x:c>
    </x:row>
    <x:row r="1107">
      <x:c r="A1107" s="50" t="str">
        <x:v>EVT001104</x:v>
      </x:c>
      <x:c r="B1107" s="50" t="str">
        <x:v>SYN0556</x:v>
      </x:c>
      <x:c r="C1107" s="50" t="str">
        <x:v>day30_checkin_completed</x:v>
      </x:c>
      <x:c r="D1107" s="51" t="n">
        <x:v>46293</x:v>
      </x:c>
    </x:row>
    <x:row r="1108">
      <x:c r="A1108" s="50" t="str">
        <x:v>EVT001105</x:v>
      </x:c>
      <x:c r="B1108" s="50" t="str">
        <x:v>SYN0557</x:v>
      </x:c>
      <x:c r="C1108" s="50" t="str">
        <x:v>coach_contact_completed</x:v>
      </x:c>
      <x:c r="D1108" s="51" t="n">
        <x:v>46064</x:v>
      </x:c>
    </x:row>
    <x:row r="1109">
      <x:c r="A1109" s="50" t="str">
        <x:v>EVT001106</x:v>
      </x:c>
      <x:c r="B1109" s="50" t="str">
        <x:v>SYN0557</x:v>
      </x:c>
      <x:c r="C1109" s="50" t="str">
        <x:v>day30_checkin_completed</x:v>
      </x:c>
      <x:c r="D1109" s="51" t="n">
        <x:v>46094</x:v>
      </x:c>
    </x:row>
    <x:row r="1110">
      <x:c r="A1110" s="50" t="str">
        <x:v>EVT001107</x:v>
      </x:c>
      <x:c r="B1110" s="50" t="str">
        <x:v>SYN0557</x:v>
      </x:c>
      <x:c r="C1110" s="50" t="str">
        <x:v>day60_activity_observed</x:v>
      </x:c>
      <x:c r="D1110" s="51" t="n">
        <x:v>46131</x:v>
      </x:c>
    </x:row>
    <x:row r="1111">
      <x:c r="A1111" s="50" t="str">
        <x:v>EVT001108</x:v>
      </x:c>
      <x:c r="B1111" s="50" t="str">
        <x:v>SYN0558</x:v>
      </x:c>
      <x:c r="C1111" s="50" t="str">
        <x:v>day60_activity_observed</x:v>
      </x:c>
      <x:c r="D1111" s="51" t="n">
        <x:v>46279</x:v>
      </x:c>
    </x:row>
    <x:row r="1112">
      <x:c r="A1112" s="50" t="str">
        <x:v>EVT001109</x:v>
      </x:c>
      <x:c r="B1112" s="50" t="str">
        <x:v>SYN0559</x:v>
      </x:c>
      <x:c r="C1112" s="50" t="str">
        <x:v>day30_checkin_completed</x:v>
      </x:c>
      <x:c r="D1112" s="51" t="n">
        <x:v>46075</x:v>
      </x:c>
    </x:row>
    <x:row r="1113">
      <x:c r="A1113" s="50" t="str">
        <x:v>EVT001110</x:v>
      </x:c>
      <x:c r="B1113" s="50" t="str">
        <x:v>SYN0559</x:v>
      </x:c>
      <x:c r="C1113" s="50" t="str">
        <x:v>day60_activity_observed</x:v>
      </x:c>
      <x:c r="D1113" s="51" t="n">
        <x:v>46105</x:v>
      </x:c>
    </x:row>
    <x:row r="1114">
      <x:c r="A1114" s="50" t="str">
        <x:v>EVT001111</x:v>
      </x:c>
      <x:c r="B1114" s="50" t="str">
        <x:v>SYN0560</x:v>
      </x:c>
      <x:c r="C1114" s="50" t="str">
        <x:v>day30_checkin_completed</x:v>
      </x:c>
      <x:c r="D1114" s="51" t="n">
        <x:v>46111</x:v>
      </x:c>
    </x:row>
    <x:row r="1115">
      <x:c r="A1115" s="50" t="str">
        <x:v>EVT001112</x:v>
      </x:c>
      <x:c r="B1115" s="50" t="str">
        <x:v>SYN0560</x:v>
      </x:c>
      <x:c r="C1115" s="50" t="str">
        <x:v>day60_activity_observed</x:v>
      </x:c>
      <x:c r="D1115" s="51" t="n">
        <x:v>46151</x:v>
      </x:c>
    </x:row>
    <x:row r="1116">
      <x:c r="A1116" s="50" t="str">
        <x:v>EVT001113</x:v>
      </x:c>
      <x:c r="B1116" s="50" t="str">
        <x:v>SYN0561</x:v>
      </x:c>
      <x:c r="C1116" s="50" t="str">
        <x:v>coach_contact_completed</x:v>
      </x:c>
      <x:c r="D1116" s="51" t="n">
        <x:v>46230</x:v>
      </x:c>
    </x:row>
    <x:row r="1117">
      <x:c r="A1117" s="50" t="str">
        <x:v>EVT001114</x:v>
      </x:c>
      <x:c r="B1117" s="50" t="str">
        <x:v>SYN0561</x:v>
      </x:c>
      <x:c r="C1117" s="50" t="str">
        <x:v>day60_activity_observed</x:v>
      </x:c>
      <x:c r="D1117" s="51" t="n">
        <x:v>46293</x:v>
      </x:c>
    </x:row>
    <x:row r="1118">
      <x:c r="A1118" s="50" t="str">
        <x:v>EVT001115</x:v>
      </x:c>
      <x:c r="B1118" s="50" t="str">
        <x:v>SYN0562</x:v>
      </x:c>
      <x:c r="C1118" s="50" t="str">
        <x:v>day30_checkin_completed</x:v>
      </x:c>
      <x:c r="D1118" s="51" t="n">
        <x:v>46136</x:v>
      </x:c>
    </x:row>
    <x:row r="1119">
      <x:c r="A1119" s="50" t="str">
        <x:v>EVT001116</x:v>
      </x:c>
      <x:c r="B1119" s="50" t="str">
        <x:v>SYN0562</x:v>
      </x:c>
      <x:c r="C1119" s="50" t="str">
        <x:v>day60_activity_observed</x:v>
      </x:c>
      <x:c r="D1119" s="51" t="n">
        <x:v>46176</x:v>
      </x:c>
    </x:row>
    <x:row r="1120">
      <x:c r="A1120" s="50" t="str">
        <x:v>EVT001117</x:v>
      </x:c>
      <x:c r="B1120" s="50" t="str">
        <x:v>SYN0563</x:v>
      </x:c>
      <x:c r="C1120" s="50" t="str">
        <x:v>coach_contact_completed</x:v>
      </x:c>
      <x:c r="D1120" s="51" t="n">
        <x:v>46121</x:v>
      </x:c>
    </x:row>
    <x:row r="1121">
      <x:c r="A1121" s="50" t="str">
        <x:v>EVT001118</x:v>
      </x:c>
      <x:c r="B1121" s="50" t="str">
        <x:v>SYN0563</x:v>
      </x:c>
      <x:c r="C1121" s="50" t="str">
        <x:v>day60_activity_observed</x:v>
      </x:c>
      <x:c r="D1121" s="51" t="n">
        <x:v>46183</x:v>
      </x:c>
    </x:row>
    <x:row r="1122">
      <x:c r="A1122" s="50" t="str">
        <x:v>EVT001119</x:v>
      </x:c>
      <x:c r="B1122" s="50" t="str">
        <x:v>SYN0564</x:v>
      </x:c>
      <x:c r="C1122" s="50" t="str">
        <x:v>coach_contact_completed</x:v>
      </x:c>
      <x:c r="D1122" s="51" t="n">
        <x:v>46235</x:v>
      </x:c>
    </x:row>
    <x:row r="1123">
      <x:c r="A1123" s="50" t="str">
        <x:v>EVT001120</x:v>
      </x:c>
      <x:c r="B1123" s="50" t="str">
        <x:v>SYN0564</x:v>
      </x:c>
      <x:c r="C1123" s="50" t="str">
        <x:v>day30_checkin_completed</x:v>
      </x:c>
      <x:c r="D1123" s="51" t="n">
        <x:v>46263</x:v>
      </x:c>
    </x:row>
    <x:row r="1124">
      <x:c r="A1124" s="50" t="str">
        <x:v>EVT001121</x:v>
      </x:c>
      <x:c r="B1124" s="50" t="str">
        <x:v>SYN0564</x:v>
      </x:c>
      <x:c r="C1124" s="50" t="str">
        <x:v>day60_activity_observed</x:v>
      </x:c>
      <x:c r="D1124" s="51" t="n">
        <x:v>46293</x:v>
      </x:c>
    </x:row>
    <x:row r="1125">
      <x:c r="A1125" s="50" t="str">
        <x:v>EVT001122</x:v>
      </x:c>
      <x:c r="B1125" s="50" t="str">
        <x:v>SYN0566</x:v>
      </x:c>
      <x:c r="C1125" s="50" t="str">
        <x:v>coach_contact_completed</x:v>
      </x:c>
      <x:c r="D1125" s="51" t="n">
        <x:v>46143</x:v>
      </x:c>
    </x:row>
    <x:row r="1126">
      <x:c r="A1126" s="50" t="str">
        <x:v>EVT001123</x:v>
      </x:c>
      <x:c r="B1126" s="50" t="str">
        <x:v>SYN0566</x:v>
      </x:c>
      <x:c r="C1126" s="50" t="str">
        <x:v>day30_checkin_completed</x:v>
      </x:c>
      <x:c r="D1126" s="51" t="n">
        <x:v>46175</x:v>
      </x:c>
    </x:row>
    <x:row r="1127">
      <x:c r="A1127" s="50" t="str">
        <x:v>EVT001124</x:v>
      </x:c>
      <x:c r="B1127" s="50" t="str">
        <x:v>SYN0567</x:v>
      </x:c>
      <x:c r="C1127" s="50" t="str">
        <x:v>coach_contact_completed</x:v>
      </x:c>
      <x:c r="D1127" s="51" t="n">
        <x:v>46249</x:v>
      </x:c>
    </x:row>
    <x:row r="1128">
      <x:c r="A1128" s="50" t="str">
        <x:v>EVT001125</x:v>
      </x:c>
      <x:c r="B1128" s="50" t="str">
        <x:v>SYN0568</x:v>
      </x:c>
      <x:c r="C1128" s="50" t="str">
        <x:v>coach_contact_completed</x:v>
      </x:c>
      <x:c r="D1128" s="51" t="n">
        <x:v>46087</x:v>
      </x:c>
    </x:row>
    <x:row r="1129">
      <x:c r="A1129" s="50" t="str">
        <x:v>EVT001126</x:v>
      </x:c>
      <x:c r="B1129" s="50" t="str">
        <x:v>SYN0568</x:v>
      </x:c>
      <x:c r="C1129" s="50" t="str">
        <x:v>day30_checkin_completed</x:v>
      </x:c>
      <x:c r="D1129" s="51" t="n">
        <x:v>46122</x:v>
      </x:c>
    </x:row>
    <x:row r="1130">
      <x:c r="A1130" s="50" t="str">
        <x:v>EVT001127</x:v>
      </x:c>
      <x:c r="B1130" s="50" t="str">
        <x:v>SYN0569</x:v>
      </x:c>
      <x:c r="C1130" s="50" t="str">
        <x:v>coach_contact_completed</x:v>
      </x:c>
      <x:c r="D1130" s="51" t="n">
        <x:v>46138</x:v>
      </x:c>
    </x:row>
    <x:row r="1131">
      <x:c r="A1131" s="50" t="str">
        <x:v>EVT001128</x:v>
      </x:c>
      <x:c r="B1131" s="50" t="str">
        <x:v>SYN0569</x:v>
      </x:c>
      <x:c r="C1131" s="50" t="str">
        <x:v>day60_activity_observed</x:v>
      </x:c>
      <x:c r="D1131" s="51" t="n">
        <x:v>46189</x:v>
      </x:c>
    </x:row>
    <x:row r="1132">
      <x:c r="A1132" s="50" t="str">
        <x:v>EVT001129</x:v>
      </x:c>
      <x:c r="B1132" s="50" t="str">
        <x:v>SYN0570</x:v>
      </x:c>
      <x:c r="C1132" s="50" t="str">
        <x:v>coach_contact_completed</x:v>
      </x:c>
      <x:c r="D1132" s="51" t="n">
        <x:v>46224</x:v>
      </x:c>
    </x:row>
    <x:row r="1133">
      <x:c r="A1133" s="50" t="str">
        <x:v>EVT001130</x:v>
      </x:c>
      <x:c r="B1133" s="50" t="str">
        <x:v>SYN0570</x:v>
      </x:c>
      <x:c r="C1133" s="50" t="str">
        <x:v>day30_checkin_completed</x:v>
      </x:c>
      <x:c r="D1133" s="51" t="n">
        <x:v>46250</x:v>
      </x:c>
    </x:row>
    <x:row r="1134">
      <x:c r="A1134" s="50" t="str">
        <x:v>EVT001131</x:v>
      </x:c>
      <x:c r="B1134" s="50" t="str">
        <x:v>SYN0571</x:v>
      </x:c>
      <x:c r="C1134" s="50" t="str">
        <x:v>coach_contact_completed</x:v>
      </x:c>
      <x:c r="D1134" s="51" t="n">
        <x:v>46087</x:v>
      </x:c>
    </x:row>
    <x:row r="1135">
      <x:c r="A1135" s="50" t="str">
        <x:v>EVT001132</x:v>
      </x:c>
      <x:c r="B1135" s="50" t="str">
        <x:v>SYN0571</x:v>
      </x:c>
      <x:c r="C1135" s="50" t="str">
        <x:v>day30_checkin_completed</x:v>
      </x:c>
      <x:c r="D1135" s="51" t="n">
        <x:v>46113</x:v>
      </x:c>
    </x:row>
    <x:row r="1136">
      <x:c r="A1136" s="50" t="str">
        <x:v>EVT001133</x:v>
      </x:c>
      <x:c r="B1136" s="50" t="str">
        <x:v>SYN0571</x:v>
      </x:c>
      <x:c r="C1136" s="50" t="str">
        <x:v>day60_activity_observed</x:v>
      </x:c>
      <x:c r="D1136" s="51" t="n">
        <x:v>46148</x:v>
      </x:c>
    </x:row>
    <x:row r="1137">
      <x:c r="A1137" s="50" t="str">
        <x:v>EVT001134</x:v>
      </x:c>
      <x:c r="B1137" s="50" t="str">
        <x:v>SYN0572</x:v>
      </x:c>
      <x:c r="C1137" s="50" t="str">
        <x:v>coach_contact_completed</x:v>
      </x:c>
      <x:c r="D1137" s="51" t="n">
        <x:v>46034</x:v>
      </x:c>
    </x:row>
    <x:row r="1138">
      <x:c r="A1138" s="50" t="str">
        <x:v>EVT001135</x:v>
      </x:c>
      <x:c r="B1138" s="50" t="str">
        <x:v>SYN0572</x:v>
      </x:c>
      <x:c r="C1138" s="50" t="str">
        <x:v>day30_checkin_completed</x:v>
      </x:c>
      <x:c r="D1138" s="51" t="n">
        <x:v>46060</x:v>
      </x:c>
    </x:row>
    <x:row r="1139">
      <x:c r="A1139" s="50" t="str">
        <x:v>EVT001136</x:v>
      </x:c>
      <x:c r="B1139" s="50" t="str">
        <x:v>SYN0572</x:v>
      </x:c>
      <x:c r="C1139" s="50" t="str">
        <x:v>day60_activity_observed</x:v>
      </x:c>
      <x:c r="D1139" s="51" t="n">
        <x:v>46095</x:v>
      </x:c>
    </x:row>
    <x:row r="1140">
      <x:c r="A1140" s="50" t="str">
        <x:v>EVT001137</x:v>
      </x:c>
      <x:c r="B1140" s="50" t="str">
        <x:v>SYN0573</x:v>
      </x:c>
      <x:c r="C1140" s="50" t="str">
        <x:v>coach_contact_completed</x:v>
      </x:c>
      <x:c r="D1140" s="51" t="n">
        <x:v>46046</x:v>
      </x:c>
    </x:row>
    <x:row r="1141">
      <x:c r="A1141" s="50" t="str">
        <x:v>EVT001138</x:v>
      </x:c>
      <x:c r="B1141" s="50" t="str">
        <x:v>SYN0573</x:v>
      </x:c>
      <x:c r="C1141" s="50" t="str">
        <x:v>day30_checkin_completed</x:v>
      </x:c>
      <x:c r="D1141" s="51" t="n">
        <x:v>46076</x:v>
      </x:c>
    </x:row>
    <x:row r="1142">
      <x:c r="A1142" s="50" t="str">
        <x:v>EVT001139</x:v>
      </x:c>
      <x:c r="B1142" s="50" t="str">
        <x:v>SYN0573</x:v>
      </x:c>
      <x:c r="C1142" s="50" t="str">
        <x:v>day60_activity_observed</x:v>
      </x:c>
      <x:c r="D1142" s="51" t="n">
        <x:v>46114</x:v>
      </x:c>
    </x:row>
    <x:row r="1143">
      <x:c r="A1143" s="50" t="str">
        <x:v>EVT001140</x:v>
      </x:c>
      <x:c r="B1143" s="50" t="str">
        <x:v>SYN0574</x:v>
      </x:c>
      <x:c r="C1143" s="50" t="str">
        <x:v>coach_contact_completed</x:v>
      </x:c>
      <x:c r="D1143" s="51" t="n">
        <x:v>46226</x:v>
      </x:c>
    </x:row>
    <x:row r="1144">
      <x:c r="A1144" s="50" t="str">
        <x:v>EVT001141</x:v>
      </x:c>
      <x:c r="B1144" s="50" t="str">
        <x:v>SYN0574</x:v>
      </x:c>
      <x:c r="C1144" s="50" t="str">
        <x:v>day30_checkin_completed</x:v>
      </x:c>
      <x:c r="D1144" s="51" t="n">
        <x:v>46261</x:v>
      </x:c>
    </x:row>
    <x:row r="1145">
      <x:c r="A1145" s="50" t="str">
        <x:v>EVT001142</x:v>
      </x:c>
      <x:c r="B1145" s="50" t="str">
        <x:v>SYN0574</x:v>
      </x:c>
      <x:c r="C1145" s="50" t="str">
        <x:v>day60_activity_observed</x:v>
      </x:c>
      <x:c r="D1145" s="51" t="n">
        <x:v>46286</x:v>
      </x:c>
    </x:row>
    <x:row r="1146">
      <x:c r="A1146" s="50" t="str">
        <x:v>EVT001143</x:v>
      </x:c>
      <x:c r="B1146" s="50" t="str">
        <x:v>SYN0575</x:v>
      </x:c>
      <x:c r="C1146" s="50" t="str">
        <x:v>coach_contact_completed</x:v>
      </x:c>
      <x:c r="D1146" s="51" t="n">
        <x:v>46177</x:v>
      </x:c>
    </x:row>
    <x:row r="1147">
      <x:c r="A1147" s="50" t="str">
        <x:v>EVT001144</x:v>
      </x:c>
      <x:c r="B1147" s="50" t="str">
        <x:v>SYN0575</x:v>
      </x:c>
      <x:c r="C1147" s="50" t="str">
        <x:v>day60_activity_observed</x:v>
      </x:c>
      <x:c r="D1147" s="51" t="n">
        <x:v>46238</x:v>
      </x:c>
    </x:row>
    <x:row r="1148">
      <x:c r="A1148" s="50" t="str">
        <x:v>EVT001145</x:v>
      </x:c>
      <x:c r="B1148" s="50" t="str">
        <x:v>SYN0576</x:v>
      </x:c>
      <x:c r="C1148" s="50" t="str">
        <x:v>coach_contact_completed</x:v>
      </x:c>
      <x:c r="D1148" s="51" t="n">
        <x:v>46244</x:v>
      </x:c>
    </x:row>
    <x:row r="1149">
      <x:c r="A1149" s="50" t="str">
        <x:v>EVT001146</x:v>
      </x:c>
      <x:c r="B1149" s="50" t="str">
        <x:v>SYN0577</x:v>
      </x:c>
      <x:c r="C1149" s="50" t="str">
        <x:v>coach_contact_completed</x:v>
      </x:c>
      <x:c r="D1149" s="51" t="n">
        <x:v>46065</x:v>
      </x:c>
    </x:row>
    <x:row r="1150">
      <x:c r="A1150" s="50" t="str">
        <x:v>EVT001147</x:v>
      </x:c>
      <x:c r="B1150" s="50" t="str">
        <x:v>SYN0577</x:v>
      </x:c>
      <x:c r="C1150" s="50" t="str">
        <x:v>day30_checkin_completed</x:v>
      </x:c>
      <x:c r="D1150" s="51" t="n">
        <x:v>46098</x:v>
      </x:c>
    </x:row>
    <x:row r="1151">
      <x:c r="A1151" s="50" t="str">
        <x:v>EVT001148</x:v>
      </x:c>
      <x:c r="B1151" s="50" t="str">
        <x:v>SYN0577</x:v>
      </x:c>
      <x:c r="C1151" s="50" t="str">
        <x:v>day60_activity_observed</x:v>
      </x:c>
      <x:c r="D1151" s="51" t="n">
        <x:v>46133</x:v>
      </x:c>
    </x:row>
    <x:row r="1152">
      <x:c r="A1152" s="50" t="str">
        <x:v>EVT001149</x:v>
      </x:c>
      <x:c r="B1152" s="50" t="str">
        <x:v>SYN0578</x:v>
      </x:c>
      <x:c r="C1152" s="50" t="str">
        <x:v>coach_contact_completed</x:v>
      </x:c>
      <x:c r="D1152" s="51" t="n">
        <x:v>46220</x:v>
      </x:c>
    </x:row>
    <x:row r="1153">
      <x:c r="A1153" s="50" t="str">
        <x:v>EVT001150</x:v>
      </x:c>
      <x:c r="B1153" s="50" t="str">
        <x:v>SYN0578</x:v>
      </x:c>
      <x:c r="C1153" s="50" t="str">
        <x:v>day30_checkin_completed</x:v>
      </x:c>
      <x:c r="D1153" s="51" t="n">
        <x:v>46248</x:v>
      </x:c>
    </x:row>
    <x:row r="1154">
      <x:c r="A1154" s="50" t="str">
        <x:v>EVT001151</x:v>
      </x:c>
      <x:c r="B1154" s="50" t="str">
        <x:v>SYN0578</x:v>
      </x:c>
      <x:c r="C1154" s="50" t="str">
        <x:v>day60_activity_observed</x:v>
      </x:c>
      <x:c r="D1154" s="51" t="n">
        <x:v>46283</x:v>
      </x:c>
    </x:row>
    <x:row r="1155">
      <x:c r="A1155" s="50" t="str">
        <x:v>EVT001152</x:v>
      </x:c>
      <x:c r="B1155" s="50" t="str">
        <x:v>SYN0579</x:v>
      </x:c>
      <x:c r="C1155" s="50" t="str">
        <x:v>coach_contact_completed</x:v>
      </x:c>
      <x:c r="D1155" s="51" t="n">
        <x:v>46128</x:v>
      </x:c>
    </x:row>
    <x:row r="1156">
      <x:c r="A1156" s="50" t="str">
        <x:v>EVT001153</x:v>
      </x:c>
      <x:c r="B1156" s="50" t="str">
        <x:v>SYN0579</x:v>
      </x:c>
      <x:c r="C1156" s="50" t="str">
        <x:v>day30_checkin_completed</x:v>
      </x:c>
      <x:c r="D1156" s="51" t="n">
        <x:v>46155</x:v>
      </x:c>
    </x:row>
    <x:row r="1157">
      <x:c r="A1157" s="50" t="str">
        <x:v>EVT001154</x:v>
      </x:c>
      <x:c r="B1157" s="50" t="str">
        <x:v>SYN0579</x:v>
      </x:c>
      <x:c r="C1157" s="50" t="str">
        <x:v>day60_activity_observed</x:v>
      </x:c>
      <x:c r="D1157" s="51" t="n">
        <x:v>46188</x:v>
      </x:c>
    </x:row>
    <x:row r="1158">
      <x:c r="A1158" s="50" t="str">
        <x:v>EVT001155</x:v>
      </x:c>
      <x:c r="B1158" s="50" t="str">
        <x:v>SYN0580</x:v>
      </x:c>
      <x:c r="C1158" s="50" t="str">
        <x:v>coach_contact_completed</x:v>
      </x:c>
      <x:c r="D1158" s="51" t="n">
        <x:v>46231</x:v>
      </x:c>
    </x:row>
    <x:row r="1159">
      <x:c r="A1159" s="50" t="str">
        <x:v>EVT001156</x:v>
      </x:c>
      <x:c r="B1159" s="50" t="str">
        <x:v>SYN0581</x:v>
      </x:c>
      <x:c r="C1159" s="50" t="str">
        <x:v>day30_checkin_completed</x:v>
      </x:c>
      <x:c r="D1159" s="51" t="n">
        <x:v>46293</x:v>
      </x:c>
    </x:row>
    <x:row r="1160">
      <x:c r="A1160" s="50" t="str">
        <x:v>EVT001157</x:v>
      </x:c>
      <x:c r="B1160" s="50" t="str">
        <x:v>SYN0582</x:v>
      </x:c>
      <x:c r="C1160" s="50" t="str">
        <x:v>coach_contact_completed</x:v>
      </x:c>
      <x:c r="D1160" s="51" t="n">
        <x:v>46246</x:v>
      </x:c>
    </x:row>
    <x:row r="1161">
      <x:c r="A1161" s="50" t="str">
        <x:v>EVT001158</x:v>
      </x:c>
      <x:c r="B1161" s="50" t="str">
        <x:v>SYN0582</x:v>
      </x:c>
      <x:c r="C1161" s="50" t="str">
        <x:v>day30_checkin_completed</x:v>
      </x:c>
      <x:c r="D1161" s="51" t="n">
        <x:v>46273</x:v>
      </x:c>
    </x:row>
    <x:row r="1162">
      <x:c r="A1162" s="50" t="str">
        <x:v>EVT001159</x:v>
      </x:c>
      <x:c r="B1162" s="50" t="str">
        <x:v>SYN0583</x:v>
      </x:c>
      <x:c r="C1162" s="50" t="str">
        <x:v>coach_contact_completed</x:v>
      </x:c>
      <x:c r="D1162" s="51" t="n">
        <x:v>46249</x:v>
      </x:c>
    </x:row>
    <x:row r="1163">
      <x:c r="A1163" s="50" t="str">
        <x:v>EVT001160</x:v>
      </x:c>
      <x:c r="B1163" s="50" t="str">
        <x:v>SYN0583</x:v>
      </x:c>
      <x:c r="C1163" s="50" t="str">
        <x:v>day30_checkin_completed</x:v>
      </x:c>
      <x:c r="D1163" s="51" t="n">
        <x:v>46277</x:v>
      </x:c>
    </x:row>
    <x:row r="1164">
      <x:c r="A1164" s="50" t="str">
        <x:v>EVT001161</x:v>
      </x:c>
      <x:c r="B1164" s="50" t="str">
        <x:v>SYN0584</x:v>
      </x:c>
      <x:c r="C1164" s="50" t="str">
        <x:v>coach_contact_completed</x:v>
      </x:c>
      <x:c r="D1164" s="51" t="n">
        <x:v>46268</x:v>
      </x:c>
    </x:row>
    <x:row r="1165">
      <x:c r="A1165" s="50" t="str">
        <x:v>EVT001162</x:v>
      </x:c>
      <x:c r="B1165" s="50" t="str">
        <x:v>SYN0585</x:v>
      </x:c>
      <x:c r="C1165" s="50" t="str">
        <x:v>coach_contact_completed</x:v>
      </x:c>
      <x:c r="D1165" s="51" t="n">
        <x:v>46083</x:v>
      </x:c>
    </x:row>
    <x:row r="1166">
      <x:c r="A1166" s="50" t="str">
        <x:v>EVT001163</x:v>
      </x:c>
      <x:c r="B1166" s="50" t="str">
        <x:v>SYN0585</x:v>
      </x:c>
      <x:c r="C1166" s="50" t="str">
        <x:v>day30_checkin_completed</x:v>
      </x:c>
      <x:c r="D1166" s="51" t="n">
        <x:v>46113</x:v>
      </x:c>
    </x:row>
    <x:row r="1167">
      <x:c r="A1167" s="50" t="str">
        <x:v>EVT001164</x:v>
      </x:c>
      <x:c r="B1167" s="50" t="str">
        <x:v>SYN0585</x:v>
      </x:c>
      <x:c r="C1167" s="50" t="str">
        <x:v>day60_activity_observed</x:v>
      </x:c>
      <x:c r="D1167" s="51" t="n">
        <x:v>46145</x:v>
      </x:c>
    </x:row>
    <x:row r="1168">
      <x:c r="A1168" s="50" t="str">
        <x:v>EVT001165</x:v>
      </x:c>
      <x:c r="B1168" s="50" t="str">
        <x:v>SYN0586</x:v>
      </x:c>
      <x:c r="C1168" s="50" t="str">
        <x:v>coach_contact_completed</x:v>
      </x:c>
      <x:c r="D1168" s="51" t="n">
        <x:v>46152</x:v>
      </x:c>
    </x:row>
    <x:row r="1169">
      <x:c r="A1169" s="50" t="str">
        <x:v>EVT001166</x:v>
      </x:c>
      <x:c r="B1169" s="50" t="str">
        <x:v>SYN0586</x:v>
      </x:c>
      <x:c r="C1169" s="50" t="str">
        <x:v>day60_activity_observed</x:v>
      </x:c>
      <x:c r="D1169" s="51" t="n">
        <x:v>46212</x:v>
      </x:c>
    </x:row>
    <x:row r="1170">
      <x:c r="A1170" s="50" t="str">
        <x:v>EVT001167</x:v>
      </x:c>
      <x:c r="B1170" s="50" t="str">
        <x:v>SYN0587</x:v>
      </x:c>
      <x:c r="C1170" s="50" t="str">
        <x:v>coach_contact_completed</x:v>
      </x:c>
      <x:c r="D1170" s="51" t="n">
        <x:v>46035</x:v>
      </x:c>
    </x:row>
    <x:row r="1171">
      <x:c r="A1171" s="50" t="str">
        <x:v>EVT001168</x:v>
      </x:c>
      <x:c r="B1171" s="50" t="str">
        <x:v>SYN0588</x:v>
      </x:c>
      <x:c r="C1171" s="50" t="str">
        <x:v>coach_contact_completed</x:v>
      </x:c>
      <x:c r="D1171" s="51" t="n">
        <x:v>46092</x:v>
      </x:c>
    </x:row>
    <x:row r="1172">
      <x:c r="A1172" s="50" t="str">
        <x:v>EVT001169</x:v>
      </x:c>
      <x:c r="B1172" s="50" t="str">
        <x:v>SYN0588</x:v>
      </x:c>
      <x:c r="C1172" s="50" t="str">
        <x:v>day30_checkin_completed</x:v>
      </x:c>
      <x:c r="D1172" s="51" t="n">
        <x:v>46123</x:v>
      </x:c>
    </x:row>
    <x:row r="1173">
      <x:c r="A1173" s="50" t="str">
        <x:v>EVT001170</x:v>
      </x:c>
      <x:c r="B1173" s="50" t="str">
        <x:v>SYN0588</x:v>
      </x:c>
      <x:c r="C1173" s="50" t="str">
        <x:v>day60_activity_observed</x:v>
      </x:c>
      <x:c r="D1173" s="51" t="n">
        <x:v>46149</x:v>
      </x:c>
    </x:row>
    <x:row r="1174">
      <x:c r="A1174" s="50" t="str">
        <x:v>EVT001171</x:v>
      </x:c>
      <x:c r="B1174" s="50" t="str">
        <x:v>SYN0589</x:v>
      </x:c>
      <x:c r="C1174" s="50" t="str">
        <x:v>day30_checkin_completed</x:v>
      </x:c>
      <x:c r="D1174" s="51" t="n">
        <x:v>46193</x:v>
      </x:c>
    </x:row>
    <x:row r="1175">
      <x:c r="A1175" s="50" t="str">
        <x:v>EVT001172</x:v>
      </x:c>
      <x:c r="B1175" s="50" t="str">
        <x:v>SYN0590</x:v>
      </x:c>
      <x:c r="C1175" s="50" t="str">
        <x:v>coach_contact_completed</x:v>
      </x:c>
      <x:c r="D1175" s="51" t="n">
        <x:v>46259</x:v>
      </x:c>
    </x:row>
    <x:row r="1176">
      <x:c r="A1176" s="50" t="str">
        <x:v>EVT001173</x:v>
      </x:c>
      <x:c r="B1176" s="50" t="str">
        <x:v>SYN0590</x:v>
      </x:c>
      <x:c r="C1176" s="50" t="str">
        <x:v>day30_checkin_completed</x:v>
      </x:c>
      <x:c r="D1176" s="51" t="n">
        <x:v>46288</x:v>
      </x:c>
    </x:row>
    <x:row r="1177">
      <x:c r="A1177" s="50" t="str">
        <x:v>EVT001174</x:v>
      </x:c>
      <x:c r="B1177" s="50" t="str">
        <x:v>SYN0591</x:v>
      </x:c>
      <x:c r="C1177" s="50" t="str">
        <x:v>coach_contact_completed</x:v>
      </x:c>
      <x:c r="D1177" s="51" t="n">
        <x:v>46170</x:v>
      </x:c>
    </x:row>
    <x:row r="1178">
      <x:c r="A1178" s="50" t="str">
        <x:v>EVT001175</x:v>
      </x:c>
      <x:c r="B1178" s="50" t="str">
        <x:v>SYN0591</x:v>
      </x:c>
      <x:c r="C1178" s="50" t="str">
        <x:v>day60_activity_observed</x:v>
      </x:c>
      <x:c r="D1178" s="51" t="n">
        <x:v>46219</x:v>
      </x:c>
    </x:row>
    <x:row r="1179">
      <x:c r="A1179" s="50" t="str">
        <x:v>EVT001176</x:v>
      </x:c>
      <x:c r="B1179" s="50" t="str">
        <x:v>SYN0592</x:v>
      </x:c>
      <x:c r="C1179" s="50" t="str">
        <x:v>coach_contact_completed</x:v>
      </x:c>
      <x:c r="D1179" s="51" t="n">
        <x:v>46237</x:v>
      </x:c>
    </x:row>
    <x:row r="1180">
      <x:c r="A1180" s="50" t="str">
        <x:v>EVT001177</x:v>
      </x:c>
      <x:c r="B1180" s="50" t="str">
        <x:v>SYN0592</x:v>
      </x:c>
      <x:c r="C1180" s="50" t="str">
        <x:v>day30_checkin_completed</x:v>
      </x:c>
      <x:c r="D1180" s="51" t="n">
        <x:v>46264</x:v>
      </x:c>
    </x:row>
    <x:row r="1181">
      <x:c r="A1181" s="50" t="str">
        <x:v>EVT001178</x:v>
      </x:c>
      <x:c r="B1181" s="50" t="str">
        <x:v>SYN0592</x:v>
      </x:c>
      <x:c r="C1181" s="50" t="str">
        <x:v>day60_activity_observed</x:v>
      </x:c>
      <x:c r="D1181" s="51" t="n">
        <x:v>46294</x:v>
      </x:c>
    </x:row>
    <x:row r="1182">
      <x:c r="A1182" s="50" t="str">
        <x:v>EVT001179</x:v>
      </x:c>
      <x:c r="B1182" s="50" t="str">
        <x:v>SYN0593</x:v>
      </x:c>
      <x:c r="C1182" s="50" t="str">
        <x:v>coach_contact_completed</x:v>
      </x:c>
      <x:c r="D1182" s="51" t="n">
        <x:v>46263</x:v>
      </x:c>
    </x:row>
    <x:row r="1183">
      <x:c r="A1183" s="50" t="str">
        <x:v>EVT001180</x:v>
      </x:c>
      <x:c r="B1183" s="50" t="str">
        <x:v>SYN0593</x:v>
      </x:c>
      <x:c r="C1183" s="50" t="str">
        <x:v>day30_checkin_completed</x:v>
      </x:c>
      <x:c r="D1183" s="51" t="n">
        <x:v>46293</x:v>
      </x:c>
    </x:row>
    <x:row r="1184">
      <x:c r="A1184" s="50" t="str">
        <x:v>EVT001181</x:v>
      </x:c>
      <x:c r="B1184" s="50" t="str">
        <x:v>SYN0594</x:v>
      </x:c>
      <x:c r="C1184" s="50" t="str">
        <x:v>day30_checkin_completed</x:v>
      </x:c>
      <x:c r="D1184" s="51" t="n">
        <x:v>46151</x:v>
      </x:c>
    </x:row>
    <x:row r="1185">
      <x:c r="A1185" s="50" t="str">
        <x:v>EVT001182</x:v>
      </x:c>
      <x:c r="B1185" s="50" t="str">
        <x:v>SYN0594</x:v>
      </x:c>
      <x:c r="C1185" s="50" t="str">
        <x:v>day60_activity_observed</x:v>
      </x:c>
      <x:c r="D1185" s="51" t="n">
        <x:v>46184</x:v>
      </x:c>
    </x:row>
    <x:row r="1186">
      <x:c r="A1186" s="50" t="str">
        <x:v>EVT001183</x:v>
      </x:c>
      <x:c r="B1186" s="50" t="str">
        <x:v>SYN0595</x:v>
      </x:c>
      <x:c r="C1186" s="50" t="str">
        <x:v>coach_contact_completed</x:v>
      </x:c>
      <x:c r="D1186" s="51" t="n">
        <x:v>46181</x:v>
      </x:c>
    </x:row>
    <x:row r="1187">
      <x:c r="A1187" s="50" t="str">
        <x:v>EVT001184</x:v>
      </x:c>
      <x:c r="B1187" s="50" t="str">
        <x:v>SYN0595</x:v>
      </x:c>
      <x:c r="C1187" s="50" t="str">
        <x:v>day30_checkin_completed</x:v>
      </x:c>
      <x:c r="D1187" s="51" t="n">
        <x:v>46197</x:v>
      </x:c>
    </x:row>
    <x:row r="1188">
      <x:c r="A1188" s="50" t="str">
        <x:v>EVT001185</x:v>
      </x:c>
      <x:c r="B1188" s="50" t="str">
        <x:v>SYN0596</x:v>
      </x:c>
      <x:c r="C1188" s="50" t="str">
        <x:v>coach_contact_completed</x:v>
      </x:c>
      <x:c r="D1188" s="51" t="n">
        <x:v>46109</x:v>
      </x:c>
    </x:row>
    <x:row r="1189">
      <x:c r="A1189" s="50" t="str">
        <x:v>EVT001186</x:v>
      </x:c>
      <x:c r="B1189" s="50" t="str">
        <x:v>SYN0596</x:v>
      </x:c>
      <x:c r="C1189" s="50" t="str">
        <x:v>day30_checkin_completed</x:v>
      </x:c>
      <x:c r="D1189" s="51" t="n">
        <x:v>46141</x:v>
      </x:c>
    </x:row>
    <x:row r="1190">
      <x:c r="A1190" s="50" t="str">
        <x:v>EVT001187</x:v>
      </x:c>
      <x:c r="B1190" s="50" t="str">
        <x:v>SYN0596</x:v>
      </x:c>
      <x:c r="C1190" s="50" t="str">
        <x:v>day60_activity_observed</x:v>
      </x:c>
      <x:c r="D1190" s="51" t="n">
        <x:v>46167</x:v>
      </x:c>
    </x:row>
    <x:row r="1191">
      <x:c r="A1191" s="50" t="str">
        <x:v>EVT001188</x:v>
      </x:c>
      <x:c r="B1191" s="50" t="str">
        <x:v>SYN0597</x:v>
      </x:c>
      <x:c r="C1191" s="50" t="str">
        <x:v>coach_contact_completed</x:v>
      </x:c>
      <x:c r="D1191" s="51" t="n">
        <x:v>46164</x:v>
      </x:c>
    </x:row>
    <x:row r="1192">
      <x:c r="A1192" s="50" t="str">
        <x:v>EVT001189</x:v>
      </x:c>
      <x:c r="B1192" s="50" t="str">
        <x:v>SYN0597</x:v>
      </x:c>
      <x:c r="C1192" s="50" t="str">
        <x:v>day30_checkin_completed</x:v>
      </x:c>
      <x:c r="D1192" s="51" t="n">
        <x:v>46194</x:v>
      </x:c>
    </x:row>
    <x:row r="1193">
      <x:c r="A1193" s="50" t="str">
        <x:v>EVT001190</x:v>
      </x:c>
      <x:c r="B1193" s="50" t="str">
        <x:v>SYN0597</x:v>
      </x:c>
      <x:c r="C1193" s="50" t="str">
        <x:v>day60_activity_observed</x:v>
      </x:c>
      <x:c r="D1193" s="51" t="n">
        <x:v>46236</x:v>
      </x:c>
    </x:row>
    <x:row r="1194">
      <x:c r="A1194" s="50" t="str">
        <x:v>EVT001191</x:v>
      </x:c>
      <x:c r="B1194" s="50" t="str">
        <x:v>SYN0598</x:v>
      </x:c>
      <x:c r="C1194" s="50" t="str">
        <x:v>coach_contact_completed</x:v>
      </x:c>
      <x:c r="D1194" s="51" t="n">
        <x:v>46100</x:v>
      </x:c>
    </x:row>
    <x:row r="1195">
      <x:c r="A1195" s="50" t="str">
        <x:v>EVT001192</x:v>
      </x:c>
      <x:c r="B1195" s="50" t="str">
        <x:v>SYN0598</x:v>
      </x:c>
      <x:c r="C1195" s="50" t="str">
        <x:v>day30_checkin_completed</x:v>
      </x:c>
      <x:c r="D1195" s="51" t="n">
        <x:v>46132</x:v>
      </x:c>
    </x:row>
    <x:row r="1196">
      <x:c r="A1196" s="50" t="str">
        <x:v>EVT001193</x:v>
      </x:c>
      <x:c r="B1196" s="50" t="str">
        <x:v>SYN0599</x:v>
      </x:c>
      <x:c r="C1196" s="50" t="str">
        <x:v>coach_contact_completed</x:v>
      </x:c>
      <x:c r="D1196" s="51" t="n">
        <x:v>46070</x:v>
      </x:c>
    </x:row>
    <x:row r="1197">
      <x:c r="A1197" s="50" t="str">
        <x:v>EVT001194</x:v>
      </x:c>
      <x:c r="B1197" s="50" t="str">
        <x:v>SYN0599</x:v>
      </x:c>
      <x:c r="C1197" s="50" t="str">
        <x:v>day30_checkin_completed</x:v>
      </x:c>
      <x:c r="D1197" s="51" t="n">
        <x:v>46099</x:v>
      </x:c>
    </x:row>
    <x:row r="1198">
      <x:c r="A1198" s="50" t="str">
        <x:v>EVT001195</x:v>
      </x:c>
      <x:c r="B1198" s="50" t="str">
        <x:v>SYN0600</x:v>
      </x:c>
      <x:c r="C1198" s="50" t="str">
        <x:v>coach_contact_completed</x:v>
      </x:c>
      <x:c r="D1198" s="51" t="n">
        <x:v>46177</x:v>
      </x:c>
    </x:row>
    <x:row r="1199">
      <x:c r="A1199" s="50" t="str">
        <x:v>EVT001196</x:v>
      </x:c>
      <x:c r="B1199" s="50" t="str">
        <x:v>SYN0600</x:v>
      </x:c>
      <x:c r="C1199" s="50" t="str">
        <x:v>day30_checkin_completed</x:v>
      </x:c>
      <x:c r="D1199" s="51" t="n">
        <x:v>46213</x:v>
      </x:c>
    </x:row>
    <x:row r="1200">
      <x:c r="A1200" s="50" t="str">
        <x:v>EVT001197</x:v>
      </x:c>
      <x:c r="B1200" s="50" t="str">
        <x:v>SYN0600</x:v>
      </x:c>
      <x:c r="C1200" s="50" t="str">
        <x:v>day60_activity_observed</x:v>
      </x:c>
      <x:c r="D1200" s="51" t="n">
        <x:v>46243</x:v>
      </x:c>
    </x:row>
    <x:row r="1201">
      <x:c r="A1201" s="50" t="str">
        <x:v>EVT001198</x:v>
      </x:c>
      <x:c r="B1201" s="50" t="str">
        <x:v>SYN0601</x:v>
      </x:c>
      <x:c r="C1201" s="50" t="str">
        <x:v>coach_contact_completed</x:v>
      </x:c>
      <x:c r="D1201" s="51" t="n">
        <x:v>46082</x:v>
      </x:c>
    </x:row>
    <x:row r="1202">
      <x:c r="A1202" s="50" t="str">
        <x:v>EVT001199</x:v>
      </x:c>
      <x:c r="B1202" s="50" t="str">
        <x:v>SYN0601</x:v>
      </x:c>
      <x:c r="C1202" s="50" t="str">
        <x:v>day30_checkin_completed</x:v>
      </x:c>
      <x:c r="D1202" s="51" t="n">
        <x:v>46109</x:v>
      </x:c>
    </x:row>
    <x:row r="1203">
      <x:c r="A1203" s="50" t="str">
        <x:v>EVT001200</x:v>
      </x:c>
      <x:c r="B1203" s="50" t="str">
        <x:v>SYN0601</x:v>
      </x:c>
      <x:c r="C1203" s="50" t="str">
        <x:v>day60_activity_observed</x:v>
      </x:c>
      <x:c r="D1203" s="51" t="n">
        <x:v>46147</x:v>
      </x:c>
    </x:row>
    <x:row r="1204">
      <x:c r="A1204" s="50" t="str">
        <x:v>EVT001201</x:v>
      </x:c>
      <x:c r="B1204" s="50" t="str">
        <x:v>SYN0602</x:v>
      </x:c>
      <x:c r="C1204" s="50" t="str">
        <x:v>coach_contact_completed</x:v>
      </x:c>
      <x:c r="D1204" s="51" t="n">
        <x:v>46032</x:v>
      </x:c>
    </x:row>
    <x:row r="1205">
      <x:c r="A1205" s="50" t="str">
        <x:v>EVT001202</x:v>
      </x:c>
      <x:c r="B1205" s="50" t="str">
        <x:v>SYN0602</x:v>
      </x:c>
      <x:c r="C1205" s="50" t="str">
        <x:v>day30_checkin_completed</x:v>
      </x:c>
      <x:c r="D1205" s="51" t="n">
        <x:v>46064</x:v>
      </x:c>
    </x:row>
    <x:row r="1206">
      <x:c r="A1206" s="50" t="str">
        <x:v>EVT001203</x:v>
      </x:c>
      <x:c r="B1206" s="50" t="str">
        <x:v>SYN0602</x:v>
      </x:c>
      <x:c r="C1206" s="50" t="str">
        <x:v>day60_activity_observed</x:v>
      </x:c>
      <x:c r="D1206" s="51" t="n">
        <x:v>46089</x:v>
      </x:c>
    </x:row>
    <x:row r="1207">
      <x:c r="A1207" s="50" t="str">
        <x:v>EVT001204</x:v>
      </x:c>
      <x:c r="B1207" s="50" t="str">
        <x:v>SYN0603</x:v>
      </x:c>
      <x:c r="C1207" s="50" t="str">
        <x:v>day30_checkin_completed</x:v>
      </x:c>
      <x:c r="D1207" s="51" t="n">
        <x:v>46232</x:v>
      </x:c>
    </x:row>
    <x:row r="1208">
      <x:c r="A1208" s="50" t="str">
        <x:v>EVT001205</x:v>
      </x:c>
      <x:c r="B1208" s="50" t="str">
        <x:v>SYN0603</x:v>
      </x:c>
      <x:c r="C1208" s="50" t="str">
        <x:v>day60_activity_observed</x:v>
      </x:c>
      <x:c r="D1208" s="51" t="n">
        <x:v>46272</x:v>
      </x:c>
    </x:row>
    <x:row r="1209">
      <x:c r="A1209" s="50" t="str">
        <x:v>EVT001206</x:v>
      </x:c>
      <x:c r="B1209" s="50" t="str">
        <x:v>SYN0604</x:v>
      </x:c>
      <x:c r="C1209" s="50" t="str">
        <x:v>coach_contact_completed</x:v>
      </x:c>
      <x:c r="D1209" s="51" t="n">
        <x:v>46165</x:v>
      </x:c>
    </x:row>
    <x:row r="1210">
      <x:c r="A1210" s="50" t="str">
        <x:v>EVT001207</x:v>
      </x:c>
      <x:c r="B1210" s="50" t="str">
        <x:v>SYN0604</x:v>
      </x:c>
      <x:c r="C1210" s="50" t="str">
        <x:v>day30_checkin_completed</x:v>
      </x:c>
      <x:c r="D1210" s="51" t="n">
        <x:v>46186</x:v>
      </x:c>
    </x:row>
    <x:row r="1211">
      <x:c r="A1211" s="50" t="str">
        <x:v>EVT001208</x:v>
      </x:c>
      <x:c r="B1211" s="50" t="str">
        <x:v>SYN0605</x:v>
      </x:c>
      <x:c r="C1211" s="50" t="str">
        <x:v>coach_contact_completed</x:v>
      </x:c>
      <x:c r="D1211" s="51" t="n">
        <x:v>46268</x:v>
      </x:c>
    </x:row>
    <x:row r="1212">
      <x:c r="A1212" s="50" t="str">
        <x:v>EVT001209</x:v>
      </x:c>
      <x:c r="B1212" s="50" t="str">
        <x:v>SYN0606</x:v>
      </x:c>
      <x:c r="C1212" s="50" t="str">
        <x:v>coach_contact_completed</x:v>
      </x:c>
      <x:c r="D1212" s="51" t="n">
        <x:v>46235</x:v>
      </x:c>
    </x:row>
    <x:row r="1213">
      <x:c r="A1213" s="50" t="str">
        <x:v>EVT001210</x:v>
      </x:c>
      <x:c r="B1213" s="50" t="str">
        <x:v>SYN0606</x:v>
      </x:c>
      <x:c r="C1213" s="50" t="str">
        <x:v>day30_checkin_completed</x:v>
      </x:c>
      <x:c r="D1213" s="51" t="n">
        <x:v>46265</x:v>
      </x:c>
    </x:row>
    <x:row r="1214">
      <x:c r="A1214" s="50" t="str">
        <x:v>EVT001211</x:v>
      </x:c>
      <x:c r="B1214" s="50" t="str">
        <x:v>SYN0607</x:v>
      </x:c>
      <x:c r="C1214" s="50" t="str">
        <x:v>coach_contact_completed</x:v>
      </x:c>
      <x:c r="D1214" s="51" t="n">
        <x:v>46071</x:v>
      </x:c>
    </x:row>
    <x:row r="1215">
      <x:c r="A1215" s="50" t="str">
        <x:v>EVT001212</x:v>
      </x:c>
      <x:c r="B1215" s="50" t="str">
        <x:v>SYN0607</x:v>
      </x:c>
      <x:c r="C1215" s="50" t="str">
        <x:v>day30_checkin_completed</x:v>
      </x:c>
      <x:c r="D1215" s="51" t="n">
        <x:v>46104</x:v>
      </x:c>
    </x:row>
    <x:row r="1216">
      <x:c r="A1216" s="50" t="str">
        <x:v>EVT001213</x:v>
      </x:c>
      <x:c r="B1216" s="50" t="str">
        <x:v>SYN0608</x:v>
      </x:c>
      <x:c r="C1216" s="50" t="str">
        <x:v>coach_contact_completed</x:v>
      </x:c>
      <x:c r="D1216" s="51" t="n">
        <x:v>46250</x:v>
      </x:c>
    </x:row>
    <x:row r="1217">
      <x:c r="A1217" s="50" t="str">
        <x:v>EVT001214</x:v>
      </x:c>
      <x:c r="B1217" s="50" t="str">
        <x:v>SYN0609</x:v>
      </x:c>
      <x:c r="C1217" s="50" t="str">
        <x:v>coach_contact_completed</x:v>
      </x:c>
      <x:c r="D1217" s="51" t="n">
        <x:v>46069</x:v>
      </x:c>
    </x:row>
    <x:row r="1218">
      <x:c r="A1218" s="50" t="str">
        <x:v>EVT001215</x:v>
      </x:c>
      <x:c r="B1218" s="50" t="str">
        <x:v>SYN0609</x:v>
      </x:c>
      <x:c r="C1218" s="50" t="str">
        <x:v>day30_checkin_completed</x:v>
      </x:c>
      <x:c r="D1218" s="51" t="n">
        <x:v>46096</x:v>
      </x:c>
    </x:row>
    <x:row r="1219">
      <x:c r="A1219" s="50" t="str">
        <x:v>EVT001216</x:v>
      </x:c>
      <x:c r="B1219" s="50" t="str">
        <x:v>SYN0610</x:v>
      </x:c>
      <x:c r="C1219" s="50" t="str">
        <x:v>coach_contact_completed</x:v>
      </x:c>
      <x:c r="D1219" s="51" t="n">
        <x:v>46139</x:v>
      </x:c>
    </x:row>
    <x:row r="1220">
      <x:c r="A1220" s="50" t="str">
        <x:v>EVT001217</x:v>
      </x:c>
      <x:c r="B1220" s="50" t="str">
        <x:v>SYN0610</x:v>
      </x:c>
      <x:c r="C1220" s="50" t="str">
        <x:v>day60_activity_observed</x:v>
      </x:c>
      <x:c r="D1220" s="51" t="n">
        <x:v>46208</x:v>
      </x:c>
    </x:row>
    <x:row r="1221">
      <x:c r="A1221" s="50" t="str">
        <x:v>EVT001218</x:v>
      </x:c>
      <x:c r="B1221" s="50" t="str">
        <x:v>SYN0611</x:v>
      </x:c>
      <x:c r="C1221" s="50" t="str">
        <x:v>coach_contact_completed</x:v>
      </x:c>
      <x:c r="D1221" s="51" t="n">
        <x:v>46157</x:v>
      </x:c>
    </x:row>
    <x:row r="1222">
      <x:c r="A1222" s="50" t="str">
        <x:v>EVT001219</x:v>
      </x:c>
      <x:c r="B1222" s="50" t="str">
        <x:v>SYN0612</x:v>
      </x:c>
      <x:c r="C1222" s="50" t="str">
        <x:v>coach_contact_completed</x:v>
      </x:c>
      <x:c r="D1222" s="51" t="n">
        <x:v>46119</x:v>
      </x:c>
    </x:row>
    <x:row r="1223">
      <x:c r="A1223" s="50" t="str">
        <x:v>EVT001220</x:v>
      </x:c>
      <x:c r="B1223" s="50" t="str">
        <x:v>SYN0612</x:v>
      </x:c>
      <x:c r="C1223" s="50" t="str">
        <x:v>day30_checkin_completed</x:v>
      </x:c>
      <x:c r="D1223" s="51" t="n">
        <x:v>46150</x:v>
      </x:c>
    </x:row>
    <x:row r="1224">
      <x:c r="A1224" s="50" t="str">
        <x:v>EVT001221</x:v>
      </x:c>
      <x:c r="B1224" s="50" t="str">
        <x:v>SYN0612</x:v>
      </x:c>
      <x:c r="C1224" s="50" t="str">
        <x:v>day60_activity_observed</x:v>
      </x:c>
      <x:c r="D1224" s="51" t="n">
        <x:v>46185</x:v>
      </x:c>
    </x:row>
    <x:row r="1225">
      <x:c r="A1225" s="50" t="str">
        <x:v>EVT001222</x:v>
      </x:c>
      <x:c r="B1225" s="50" t="str">
        <x:v>SYN0613</x:v>
      </x:c>
      <x:c r="C1225" s="50" t="str">
        <x:v>coach_contact_completed</x:v>
      </x:c>
      <x:c r="D1225" s="51" t="n">
        <x:v>46061</x:v>
      </x:c>
    </x:row>
    <x:row r="1226">
      <x:c r="A1226" s="50" t="str">
        <x:v>EVT001223</x:v>
      </x:c>
      <x:c r="B1226" s="50" t="str">
        <x:v>SYN0613</x:v>
      </x:c>
      <x:c r="C1226" s="50" t="str">
        <x:v>day60_activity_observed</x:v>
      </x:c>
      <x:c r="D1226" s="51" t="n">
        <x:v>46111</x:v>
      </x:c>
    </x:row>
    <x:row r="1227">
      <x:c r="A1227" s="50" t="str">
        <x:v>EVT001224</x:v>
      </x:c>
      <x:c r="B1227" s="50" t="str">
        <x:v>SYN0614</x:v>
      </x:c>
      <x:c r="C1227" s="50" t="str">
        <x:v>coach_contact_completed</x:v>
      </x:c>
      <x:c r="D1227" s="51" t="n">
        <x:v>46048</x:v>
      </x:c>
    </x:row>
    <x:row r="1228">
      <x:c r="A1228" s="50" t="str">
        <x:v>EVT001225</x:v>
      </x:c>
      <x:c r="B1228" s="50" t="str">
        <x:v>SYN0614</x:v>
      </x:c>
      <x:c r="C1228" s="50" t="str">
        <x:v>day30_checkin_completed</x:v>
      </x:c>
      <x:c r="D1228" s="51" t="n">
        <x:v>46069</x:v>
      </x:c>
    </x:row>
    <x:row r="1229">
      <x:c r="A1229" s="50" t="str">
        <x:v>EVT001226</x:v>
      </x:c>
      <x:c r="B1229" s="50" t="str">
        <x:v>SYN0614</x:v>
      </x:c>
      <x:c r="C1229" s="50" t="str">
        <x:v>day60_activity_observed</x:v>
      </x:c>
      <x:c r="D1229" s="51" t="n">
        <x:v>46109</x:v>
      </x:c>
    </x:row>
    <x:row r="1230">
      <x:c r="A1230" s="50" t="str">
        <x:v>EVT001227</x:v>
      </x:c>
      <x:c r="B1230" s="50" t="str">
        <x:v>SYN0615</x:v>
      </x:c>
      <x:c r="C1230" s="50" t="str">
        <x:v>day30_checkin_completed</x:v>
      </x:c>
      <x:c r="D1230" s="51" t="n">
        <x:v>46198</x:v>
      </x:c>
    </x:row>
    <x:row r="1231">
      <x:c r="A1231" s="50" t="str">
        <x:v>EVT001228</x:v>
      </x:c>
      <x:c r="B1231" s="50" t="str">
        <x:v>SYN0615</x:v>
      </x:c>
      <x:c r="C1231" s="50" t="str">
        <x:v>day60_activity_observed</x:v>
      </x:c>
      <x:c r="D1231" s="51" t="n">
        <x:v>46229</x:v>
      </x:c>
    </x:row>
    <x:row r="1232">
      <x:c r="A1232" s="50" t="str">
        <x:v>EVT001229</x:v>
      </x:c>
      <x:c r="B1232" s="50" t="str">
        <x:v>SYN0616</x:v>
      </x:c>
      <x:c r="C1232" s="50" t="str">
        <x:v>coach_contact_completed</x:v>
      </x:c>
      <x:c r="D1232" s="51" t="n">
        <x:v>46152</x:v>
      </x:c>
    </x:row>
    <x:row r="1233">
      <x:c r="A1233" s="50" t="str">
        <x:v>EVT001230</x:v>
      </x:c>
      <x:c r="B1233" s="50" t="str">
        <x:v>SYN0616</x:v>
      </x:c>
      <x:c r="C1233" s="50" t="str">
        <x:v>day30_checkin_completed</x:v>
      </x:c>
      <x:c r="D1233" s="51" t="n">
        <x:v>46181</x:v>
      </x:c>
    </x:row>
    <x:row r="1234">
      <x:c r="A1234" s="50" t="str">
        <x:v>EVT001231</x:v>
      </x:c>
      <x:c r="B1234" s="50" t="str">
        <x:v>SYN0616</x:v>
      </x:c>
      <x:c r="C1234" s="50" t="str">
        <x:v>day60_activity_observed</x:v>
      </x:c>
      <x:c r="D1234" s="51" t="n">
        <x:v>46218</x:v>
      </x:c>
    </x:row>
    <x:row r="1235">
      <x:c r="A1235" s="50" t="str">
        <x:v>EVT001232</x:v>
      </x:c>
      <x:c r="B1235" s="50" t="str">
        <x:v>SYN0617</x:v>
      </x:c>
      <x:c r="C1235" s="50" t="str">
        <x:v>coach_contact_completed</x:v>
      </x:c>
      <x:c r="D1235" s="51" t="n">
        <x:v>46112</x:v>
      </x:c>
    </x:row>
    <x:row r="1236">
      <x:c r="A1236" s="50" t="str">
        <x:v>EVT001233</x:v>
      </x:c>
      <x:c r="B1236" s="50" t="str">
        <x:v>SYN0617</x:v>
      </x:c>
      <x:c r="C1236" s="50" t="str">
        <x:v>day60_activity_observed</x:v>
      </x:c>
      <x:c r="D1236" s="51" t="n">
        <x:v>46161</x:v>
      </x:c>
    </x:row>
    <x:row r="1237">
      <x:c r="A1237" s="50" t="str">
        <x:v>EVT001234</x:v>
      </x:c>
      <x:c r="B1237" s="50" t="str">
        <x:v>SYN0618</x:v>
      </x:c>
      <x:c r="C1237" s="50" t="str">
        <x:v>coach_contact_completed</x:v>
      </x:c>
      <x:c r="D1237" s="51" t="n">
        <x:v>46224</x:v>
      </x:c>
    </x:row>
    <x:row r="1238">
      <x:c r="A1238" s="50" t="str">
        <x:v>EVT001235</x:v>
      </x:c>
      <x:c r="B1238" s="50" t="str">
        <x:v>SYN0618</x:v>
      </x:c>
      <x:c r="C1238" s="50" t="str">
        <x:v>day30_checkin_completed</x:v>
      </x:c>
      <x:c r="D1238" s="51" t="n">
        <x:v>46247</x:v>
      </x:c>
    </x:row>
    <x:row r="1239">
      <x:c r="A1239" s="50" t="str">
        <x:v>EVT001236</x:v>
      </x:c>
      <x:c r="B1239" s="50" t="str">
        <x:v>SYN0618</x:v>
      </x:c>
      <x:c r="C1239" s="50" t="str">
        <x:v>day60_activity_observed</x:v>
      </x:c>
      <x:c r="D1239" s="51" t="n">
        <x:v>46277</x:v>
      </x:c>
    </x:row>
    <x:row r="1240">
      <x:c r="A1240" s="50" t="str">
        <x:v>EVT001237</x:v>
      </x:c>
      <x:c r="B1240" s="50" t="str">
        <x:v>SYN0619</x:v>
      </x:c>
      <x:c r="C1240" s="50" t="str">
        <x:v>day30_checkin_completed</x:v>
      </x:c>
      <x:c r="D1240" s="51" t="n">
        <x:v>46090</x:v>
      </x:c>
    </x:row>
    <x:row r="1241">
      <x:c r="A1241" s="50" t="str">
        <x:v>EVT001238</x:v>
      </x:c>
      <x:c r="B1241" s="50" t="str">
        <x:v>SYN0619</x:v>
      </x:c>
      <x:c r="C1241" s="50" t="str">
        <x:v>day60_activity_observed</x:v>
      </x:c>
      <x:c r="D1241" s="51" t="n">
        <x:v>46120</x:v>
      </x:c>
    </x:row>
    <x:row r="1242">
      <x:c r="A1242" s="50" t="str">
        <x:v>EVT001239</x:v>
      </x:c>
      <x:c r="B1242" s="50" t="str">
        <x:v>SYN0620</x:v>
      </x:c>
      <x:c r="C1242" s="50" t="str">
        <x:v>coach_contact_completed</x:v>
      </x:c>
      <x:c r="D1242" s="51" t="n">
        <x:v>46197</x:v>
      </x:c>
    </x:row>
    <x:row r="1243">
      <x:c r="A1243" s="50" t="str">
        <x:v>EVT001240</x:v>
      </x:c>
      <x:c r="B1243" s="50" t="str">
        <x:v>SYN0620</x:v>
      </x:c>
      <x:c r="C1243" s="50" t="str">
        <x:v>day30_checkin_completed</x:v>
      </x:c>
      <x:c r="D1243" s="51" t="n">
        <x:v>46214</x:v>
      </x:c>
    </x:row>
    <x:row r="1244">
      <x:c r="A1244" s="50" t="str">
        <x:v>EVT001241</x:v>
      </x:c>
      <x:c r="B1244" s="50" t="str">
        <x:v>SYN0620</x:v>
      </x:c>
      <x:c r="C1244" s="50" t="str">
        <x:v>day60_activity_observed</x:v>
      </x:c>
      <x:c r="D1244" s="51" t="n">
        <x:v>46255</x:v>
      </x:c>
    </x:row>
    <x:row r="1245">
      <x:c r="A1245" s="50" t="str">
        <x:v>EVT001242</x:v>
      </x:c>
      <x:c r="B1245" s="50" t="str">
        <x:v>SYN0621</x:v>
      </x:c>
      <x:c r="C1245" s="50" t="str">
        <x:v>coach_contact_completed</x:v>
      </x:c>
      <x:c r="D1245" s="51" t="n">
        <x:v>46236</x:v>
      </x:c>
    </x:row>
    <x:row r="1246">
      <x:c r="A1246" s="50" t="str">
        <x:v>EVT001243</x:v>
      </x:c>
      <x:c r="B1246" s="50" t="str">
        <x:v>SYN0622</x:v>
      </x:c>
      <x:c r="C1246" s="50" t="str">
        <x:v>coach_contact_completed</x:v>
      </x:c>
      <x:c r="D1246" s="51" t="n">
        <x:v>46104</x:v>
      </x:c>
    </x:row>
    <x:row r="1247">
      <x:c r="A1247" s="50" t="str">
        <x:v>EVT001244</x:v>
      </x:c>
      <x:c r="B1247" s="50" t="str">
        <x:v>SYN0622</x:v>
      </x:c>
      <x:c r="C1247" s="50" t="str">
        <x:v>day30_checkin_completed</x:v>
      </x:c>
      <x:c r="D1247" s="51" t="n">
        <x:v>46126</x:v>
      </x:c>
    </x:row>
    <x:row r="1248">
      <x:c r="A1248" s="50" t="str">
        <x:v>EVT001245</x:v>
      </x:c>
      <x:c r="B1248" s="50" t="str">
        <x:v>SYN0623</x:v>
      </x:c>
      <x:c r="C1248" s="50" t="str">
        <x:v>coach_contact_completed</x:v>
      </x:c>
      <x:c r="D1248" s="51" t="n">
        <x:v>46032</x:v>
      </x:c>
    </x:row>
    <x:row r="1249">
      <x:c r="A1249" s="50" t="str">
        <x:v>EVT001246</x:v>
      </x:c>
      <x:c r="B1249" s="50" t="str">
        <x:v>SYN0623</x:v>
      </x:c>
      <x:c r="C1249" s="50" t="str">
        <x:v>day30_checkin_completed</x:v>
      </x:c>
      <x:c r="D1249" s="51" t="n">
        <x:v>46062</x:v>
      </x:c>
    </x:row>
    <x:row r="1250">
      <x:c r="A1250" s="50" t="str">
        <x:v>EVT001247</x:v>
      </x:c>
      <x:c r="B1250" s="50" t="str">
        <x:v>SYN0623</x:v>
      </x:c>
      <x:c r="C1250" s="50" t="str">
        <x:v>day60_activity_observed</x:v>
      </x:c>
      <x:c r="D1250" s="51" t="n">
        <x:v>46105</x:v>
      </x:c>
    </x:row>
    <x:row r="1251">
      <x:c r="A1251" s="50" t="str">
        <x:v>EVT001248</x:v>
      </x:c>
      <x:c r="B1251" s="50" t="str">
        <x:v>SYN0624</x:v>
      </x:c>
      <x:c r="C1251" s="50" t="str">
        <x:v>coach_contact_completed</x:v>
      </x:c>
      <x:c r="D1251" s="51" t="n">
        <x:v>46138</x:v>
      </x:c>
    </x:row>
    <x:row r="1252">
      <x:c r="A1252" s="50" t="str">
        <x:v>EVT001249</x:v>
      </x:c>
      <x:c r="B1252" s="50" t="str">
        <x:v>SYN0624</x:v>
      </x:c>
      <x:c r="C1252" s="50" t="str">
        <x:v>day30_checkin_completed</x:v>
      </x:c>
      <x:c r="D1252" s="51" t="n">
        <x:v>46170</x:v>
      </x:c>
    </x:row>
    <x:row r="1253">
      <x:c r="A1253" s="50" t="str">
        <x:v>EVT001250</x:v>
      </x:c>
      <x:c r="B1253" s="50" t="str">
        <x:v>SYN0624</x:v>
      </x:c>
      <x:c r="C1253" s="50" t="str">
        <x:v>day60_activity_observed</x:v>
      </x:c>
      <x:c r="D1253" s="51" t="n">
        <x:v>46202</x:v>
      </x:c>
    </x:row>
    <x:row r="1254">
      <x:c r="A1254" s="50" t="str">
        <x:v>EVT001251</x:v>
      </x:c>
      <x:c r="B1254" s="50" t="str">
        <x:v>SYN0625</x:v>
      </x:c>
      <x:c r="C1254" s="50" t="str">
        <x:v>day60_activity_observed</x:v>
      </x:c>
      <x:c r="D1254" s="51" t="n">
        <x:v>46089</x:v>
      </x:c>
    </x:row>
    <x:row r="1255">
      <x:c r="A1255" s="50" t="str">
        <x:v>EVT001252</x:v>
      </x:c>
      <x:c r="B1255" s="50" t="str">
        <x:v>SYN0626</x:v>
      </x:c>
      <x:c r="C1255" s="50" t="str">
        <x:v>coach_contact_completed</x:v>
      </x:c>
      <x:c r="D1255" s="51" t="n">
        <x:v>46181</x:v>
      </x:c>
    </x:row>
    <x:row r="1256">
      <x:c r="A1256" s="50" t="str">
        <x:v>EVT001253</x:v>
      </x:c>
      <x:c r="B1256" s="50" t="str">
        <x:v>SYN0626</x:v>
      </x:c>
      <x:c r="C1256" s="50" t="str">
        <x:v>day30_checkin_completed</x:v>
      </x:c>
      <x:c r="D1256" s="51" t="n">
        <x:v>46208</x:v>
      </x:c>
    </x:row>
    <x:row r="1257">
      <x:c r="A1257" s="50" t="str">
        <x:v>EVT001254</x:v>
      </x:c>
      <x:c r="B1257" s="50" t="str">
        <x:v>SYN0627</x:v>
      </x:c>
      <x:c r="C1257" s="50" t="str">
        <x:v>coach_contact_completed</x:v>
      </x:c>
      <x:c r="D1257" s="51" t="n">
        <x:v>46123</x:v>
      </x:c>
    </x:row>
    <x:row r="1258">
      <x:c r="A1258" s="50" t="str">
        <x:v>EVT001255</x:v>
      </x:c>
      <x:c r="B1258" s="50" t="str">
        <x:v>SYN0627</x:v>
      </x:c>
      <x:c r="C1258" s="50" t="str">
        <x:v>day30_checkin_completed</x:v>
      </x:c>
      <x:c r="D1258" s="51" t="n">
        <x:v>46156</x:v>
      </x:c>
    </x:row>
    <x:row r="1259">
      <x:c r="A1259" s="50" t="str">
        <x:v>EVT001256</x:v>
      </x:c>
      <x:c r="B1259" s="50" t="str">
        <x:v>SYN0627</x:v>
      </x:c>
      <x:c r="C1259" s="50" t="str">
        <x:v>day60_activity_observed</x:v>
      </x:c>
      <x:c r="D1259" s="51" t="n">
        <x:v>46184</x:v>
      </x:c>
    </x:row>
    <x:row r="1260">
      <x:c r="A1260" s="50" t="str">
        <x:v>EVT001257</x:v>
      </x:c>
      <x:c r="B1260" s="50" t="str">
        <x:v>SYN0628</x:v>
      </x:c>
      <x:c r="C1260" s="50" t="str">
        <x:v>coach_contact_completed</x:v>
      </x:c>
      <x:c r="D1260" s="51" t="n">
        <x:v>46075</x:v>
      </x:c>
    </x:row>
    <x:row r="1261">
      <x:c r="A1261" s="50" t="str">
        <x:v>EVT001258</x:v>
      </x:c>
      <x:c r="B1261" s="50" t="str">
        <x:v>SYN0628</x:v>
      </x:c>
      <x:c r="C1261" s="50" t="str">
        <x:v>day30_checkin_completed</x:v>
      </x:c>
      <x:c r="D1261" s="51" t="n">
        <x:v>46100</x:v>
      </x:c>
    </x:row>
    <x:row r="1262">
      <x:c r="A1262" s="50" t="str">
        <x:v>EVT001259</x:v>
      </x:c>
      <x:c r="B1262" s="50" t="str">
        <x:v>SYN0629</x:v>
      </x:c>
      <x:c r="C1262" s="50" t="str">
        <x:v>coach_contact_completed</x:v>
      </x:c>
      <x:c r="D1262" s="51" t="n">
        <x:v>46063</x:v>
      </x:c>
    </x:row>
    <x:row r="1263">
      <x:c r="A1263" s="50" t="str">
        <x:v>EVT001260</x:v>
      </x:c>
      <x:c r="B1263" s="50" t="str">
        <x:v>SYN0630</x:v>
      </x:c>
      <x:c r="C1263" s="50" t="str">
        <x:v>coach_contact_completed</x:v>
      </x:c>
      <x:c r="D1263" s="51" t="n">
        <x:v>46157</x:v>
      </x:c>
    </x:row>
    <x:row r="1264">
      <x:c r="A1264" s="50" t="str">
        <x:v>EVT001261</x:v>
      </x:c>
      <x:c r="B1264" s="50" t="str">
        <x:v>SYN0630</x:v>
      </x:c>
      <x:c r="C1264" s="50" t="str">
        <x:v>day30_checkin_completed</x:v>
      </x:c>
      <x:c r="D1264" s="51" t="n">
        <x:v>46181</x:v>
      </x:c>
    </x:row>
    <x:row r="1265">
      <x:c r="A1265" s="50" t="str">
        <x:v>EVT001262</x:v>
      </x:c>
      <x:c r="B1265" s="50" t="str">
        <x:v>SYN0630</x:v>
      </x:c>
      <x:c r="C1265" s="50" t="str">
        <x:v>day60_activity_observed</x:v>
      </x:c>
      <x:c r="D1265" s="51" t="n">
        <x:v>46219</x:v>
      </x:c>
    </x:row>
    <x:row r="1266">
      <x:c r="A1266" s="50" t="str">
        <x:v>EVT001263</x:v>
      </x:c>
      <x:c r="B1266" s="50" t="str">
        <x:v>SYN0631</x:v>
      </x:c>
      <x:c r="C1266" s="50" t="str">
        <x:v>coach_contact_completed</x:v>
      </x:c>
      <x:c r="D1266" s="51" t="n">
        <x:v>46215</x:v>
      </x:c>
    </x:row>
    <x:row r="1267">
      <x:c r="A1267" s="50" t="str">
        <x:v>EVT001264</x:v>
      </x:c>
      <x:c r="B1267" s="50" t="str">
        <x:v>SYN0631</x:v>
      </x:c>
      <x:c r="C1267" s="50" t="str">
        <x:v>day30_checkin_completed</x:v>
      </x:c>
      <x:c r="D1267" s="51" t="n">
        <x:v>46243</x:v>
      </x:c>
    </x:row>
    <x:row r="1268">
      <x:c r="A1268" s="50" t="str">
        <x:v>EVT001265</x:v>
      </x:c>
      <x:c r="B1268" s="50" t="str">
        <x:v>SYN0631</x:v>
      </x:c>
      <x:c r="C1268" s="50" t="str">
        <x:v>day60_activity_observed</x:v>
      </x:c>
      <x:c r="D1268" s="51" t="n">
        <x:v>46278</x:v>
      </x:c>
    </x:row>
    <x:row r="1269">
      <x:c r="A1269" s="50" t="str">
        <x:v>EVT001266</x:v>
      </x:c>
      <x:c r="B1269" s="50" t="str">
        <x:v>SYN0632</x:v>
      </x:c>
      <x:c r="C1269" s="50" t="str">
        <x:v>coach_contact_completed</x:v>
      </x:c>
      <x:c r="D1269" s="51" t="n">
        <x:v>46067</x:v>
      </x:c>
    </x:row>
    <x:row r="1270">
      <x:c r="A1270" s="50" t="str">
        <x:v>EVT001267</x:v>
      </x:c>
      <x:c r="B1270" s="50" t="str">
        <x:v>SYN0632</x:v>
      </x:c>
      <x:c r="C1270" s="50" t="str">
        <x:v>day30_checkin_completed</x:v>
      </x:c>
      <x:c r="D1270" s="51" t="n">
        <x:v>46095</x:v>
      </x:c>
    </x:row>
    <x:row r="1271">
      <x:c r="A1271" s="50" t="str">
        <x:v>EVT001268</x:v>
      </x:c>
      <x:c r="B1271" s="50" t="str">
        <x:v>SYN0632</x:v>
      </x:c>
      <x:c r="C1271" s="50" t="str">
        <x:v>day60_activity_observed</x:v>
      </x:c>
      <x:c r="D1271" s="51" t="n">
        <x:v>46135</x:v>
      </x:c>
    </x:row>
    <x:row r="1272">
      <x:c r="A1272" s="50" t="str">
        <x:v>EVT001269</x:v>
      </x:c>
      <x:c r="B1272" s="50" t="str">
        <x:v>SYN0633</x:v>
      </x:c>
      <x:c r="C1272" s="50" t="str">
        <x:v>coach_contact_completed</x:v>
      </x:c>
      <x:c r="D1272" s="51" t="n">
        <x:v>46213</x:v>
      </x:c>
    </x:row>
    <x:row r="1273">
      <x:c r="A1273" s="50" t="str">
        <x:v>EVT001270</x:v>
      </x:c>
      <x:c r="B1273" s="50" t="str">
        <x:v>SYN0633</x:v>
      </x:c>
      <x:c r="C1273" s="50" t="str">
        <x:v>day30_checkin_completed</x:v>
      </x:c>
      <x:c r="D1273" s="51" t="n">
        <x:v>46241</x:v>
      </x:c>
    </x:row>
    <x:row r="1274">
      <x:c r="A1274" s="50" t="str">
        <x:v>EVT001271</x:v>
      </x:c>
      <x:c r="B1274" s="50" t="str">
        <x:v>SYN0633</x:v>
      </x:c>
      <x:c r="C1274" s="50" t="str">
        <x:v>day60_activity_observed</x:v>
      </x:c>
      <x:c r="D1274" s="51" t="n">
        <x:v>46277</x:v>
      </x:c>
    </x:row>
    <x:row r="1275">
      <x:c r="A1275" s="50" t="str">
        <x:v>EVT001272</x:v>
      </x:c>
      <x:c r="B1275" s="50" t="str">
        <x:v>SYN0634</x:v>
      </x:c>
      <x:c r="C1275" s="50" t="str">
        <x:v>coach_contact_completed</x:v>
      </x:c>
      <x:c r="D1275" s="51" t="n">
        <x:v>46040</x:v>
      </x:c>
    </x:row>
    <x:row r="1276">
      <x:c r="A1276" s="50" t="str">
        <x:v>EVT001273</x:v>
      </x:c>
      <x:c r="B1276" s="50" t="str">
        <x:v>SYN0634</x:v>
      </x:c>
      <x:c r="C1276" s="50" t="str">
        <x:v>day30_checkin_completed</x:v>
      </x:c>
      <x:c r="D1276" s="51" t="n">
        <x:v>46066</x:v>
      </x:c>
    </x:row>
    <x:row r="1277">
      <x:c r="A1277" s="50" t="str">
        <x:v>EVT001274</x:v>
      </x:c>
      <x:c r="B1277" s="50" t="str">
        <x:v>SYN0634</x:v>
      </x:c>
      <x:c r="C1277" s="50" t="str">
        <x:v>day60_activity_observed</x:v>
      </x:c>
      <x:c r="D1277" s="51" t="n">
        <x:v>46094</x:v>
      </x:c>
    </x:row>
    <x:row r="1278">
      <x:c r="A1278" s="50" t="str">
        <x:v>EVT001275</x:v>
      </x:c>
      <x:c r="B1278" s="50" t="str">
        <x:v>SYN0635</x:v>
      </x:c>
      <x:c r="C1278" s="50" t="str">
        <x:v>coach_contact_completed</x:v>
      </x:c>
      <x:c r="D1278" s="51" t="n">
        <x:v>46090</x:v>
      </x:c>
    </x:row>
    <x:row r="1279">
      <x:c r="A1279" s="50" t="str">
        <x:v>EVT001276</x:v>
      </x:c>
      <x:c r="B1279" s="50" t="str">
        <x:v>SYN0635</x:v>
      </x:c>
      <x:c r="C1279" s="50" t="str">
        <x:v>day30_checkin_completed</x:v>
      </x:c>
      <x:c r="D1279" s="51" t="n">
        <x:v>46117</x:v>
      </x:c>
    </x:row>
    <x:row r="1280">
      <x:c r="A1280" s="50" t="str">
        <x:v>EVT001277</x:v>
      </x:c>
      <x:c r="B1280" s="50" t="str">
        <x:v>SYN0635</x:v>
      </x:c>
      <x:c r="C1280" s="50" t="str">
        <x:v>day60_activity_observed</x:v>
      </x:c>
      <x:c r="D1280" s="51" t="n">
        <x:v>46162</x:v>
      </x:c>
    </x:row>
    <x:row r="1281">
      <x:c r="A1281" s="50" t="str">
        <x:v>EVT001278</x:v>
      </x:c>
      <x:c r="B1281" s="50" t="str">
        <x:v>SYN0636</x:v>
      </x:c>
      <x:c r="C1281" s="50" t="str">
        <x:v>day30_checkin_completed</x:v>
      </x:c>
      <x:c r="D1281" s="51" t="n">
        <x:v>46084</x:v>
      </x:c>
    </x:row>
    <x:row r="1282">
      <x:c r="A1282" s="50" t="str">
        <x:v>EVT001279</x:v>
      </x:c>
      <x:c r="B1282" s="50" t="str">
        <x:v>SYN0636</x:v>
      </x:c>
      <x:c r="C1282" s="50" t="str">
        <x:v>day60_activity_observed</x:v>
      </x:c>
      <x:c r="D1282" s="51" t="n">
        <x:v>46116</x:v>
      </x:c>
    </x:row>
    <x:row r="1283">
      <x:c r="A1283" s="50" t="str">
        <x:v>EVT001280</x:v>
      </x:c>
      <x:c r="B1283" s="50" t="str">
        <x:v>SYN0637</x:v>
      </x:c>
      <x:c r="C1283" s="50" t="str">
        <x:v>day30_checkin_completed</x:v>
      </x:c>
      <x:c r="D1283" s="51" t="n">
        <x:v>46194</x:v>
      </x:c>
    </x:row>
    <x:row r="1284">
      <x:c r="A1284" s="50" t="str">
        <x:v>EVT001281</x:v>
      </x:c>
      <x:c r="B1284" s="50" t="str">
        <x:v>SYN0638</x:v>
      </x:c>
      <x:c r="C1284" s="50" t="str">
        <x:v>coach_contact_completed</x:v>
      </x:c>
      <x:c r="D1284" s="51" t="n">
        <x:v>46223</x:v>
      </x:c>
    </x:row>
    <x:row r="1285">
      <x:c r="A1285" s="50" t="str">
        <x:v>EVT001282</x:v>
      </x:c>
      <x:c r="B1285" s="50" t="str">
        <x:v>SYN0638</x:v>
      </x:c>
      <x:c r="C1285" s="50" t="str">
        <x:v>day30_checkin_completed</x:v>
      </x:c>
      <x:c r="D1285" s="51" t="n">
        <x:v>46258</x:v>
      </x:c>
    </x:row>
    <x:row r="1286">
      <x:c r="A1286" s="50" t="str">
        <x:v>EVT001283</x:v>
      </x:c>
      <x:c r="B1286" s="50" t="str">
        <x:v>SYN0638</x:v>
      </x:c>
      <x:c r="C1286" s="50" t="str">
        <x:v>day60_activity_observed</x:v>
      </x:c>
      <x:c r="D1286" s="51" t="n">
        <x:v>46286</x:v>
      </x:c>
    </x:row>
    <x:row r="1287">
      <x:c r="A1287" s="50" t="str">
        <x:v>EVT001284</x:v>
      </x:c>
      <x:c r="B1287" s="50" t="str">
        <x:v>SYN0639</x:v>
      </x:c>
      <x:c r="C1287" s="50" t="str">
        <x:v>coach_contact_completed</x:v>
      </x:c>
      <x:c r="D1287" s="51" t="n">
        <x:v>46201</x:v>
      </x:c>
    </x:row>
    <x:row r="1288">
      <x:c r="A1288" s="50" t="str">
        <x:v>EVT001285</x:v>
      </x:c>
      <x:c r="B1288" s="50" t="str">
        <x:v>SYN0640</x:v>
      </x:c>
      <x:c r="C1288" s="50" t="str">
        <x:v>day30_checkin_completed</x:v>
      </x:c>
      <x:c r="D1288" s="51" t="n">
        <x:v>46065</x:v>
      </x:c>
    </x:row>
    <x:row r="1289">
      <x:c r="A1289" s="50" t="str">
        <x:v>EVT001286</x:v>
      </x:c>
      <x:c r="B1289" s="50" t="str">
        <x:v>SYN0641</x:v>
      </x:c>
      <x:c r="C1289" s="50" t="str">
        <x:v>coach_contact_completed</x:v>
      </x:c>
      <x:c r="D1289" s="51" t="n">
        <x:v>46226</x:v>
      </x:c>
    </x:row>
    <x:row r="1290">
      <x:c r="A1290" s="50" t="str">
        <x:v>EVT001287</x:v>
      </x:c>
      <x:c r="B1290" s="50" t="str">
        <x:v>SYN0641</x:v>
      </x:c>
      <x:c r="C1290" s="50" t="str">
        <x:v>day30_checkin_completed</x:v>
      </x:c>
      <x:c r="D1290" s="51" t="n">
        <x:v>46260</x:v>
      </x:c>
    </x:row>
    <x:row r="1291">
      <x:c r="A1291" s="50" t="str">
        <x:v>EVT001288</x:v>
      </x:c>
      <x:c r="B1291" s="50" t="str">
        <x:v>SYN0641</x:v>
      </x:c>
      <x:c r="C1291" s="50" t="str">
        <x:v>day60_activity_observed</x:v>
      </x:c>
      <x:c r="D1291" s="51" t="n">
        <x:v>46290</x:v>
      </x:c>
    </x:row>
    <x:row r="1292">
      <x:c r="A1292" s="50" t="str">
        <x:v>EVT001289</x:v>
      </x:c>
      <x:c r="B1292" s="50" t="str">
        <x:v>SYN0642</x:v>
      </x:c>
      <x:c r="C1292" s="50" t="str">
        <x:v>coach_contact_completed</x:v>
      </x:c>
      <x:c r="D1292" s="51" t="n">
        <x:v>46221</x:v>
      </x:c>
    </x:row>
    <x:row r="1293">
      <x:c r="A1293" s="50" t="str">
        <x:v>EVT001290</x:v>
      </x:c>
      <x:c r="B1293" s="50" t="str">
        <x:v>SYN0642</x:v>
      </x:c>
      <x:c r="C1293" s="50" t="str">
        <x:v>day60_activity_observed</x:v>
      </x:c>
      <x:c r="D1293" s="51" t="n">
        <x:v>46273</x:v>
      </x:c>
    </x:row>
    <x:row r="1294">
      <x:c r="A1294" s="50" t="str">
        <x:v>EVT001291</x:v>
      </x:c>
      <x:c r="B1294" s="50" t="str">
        <x:v>SYN0643</x:v>
      </x:c>
      <x:c r="C1294" s="50" t="str">
        <x:v>coach_contact_completed</x:v>
      </x:c>
      <x:c r="D1294" s="51" t="n">
        <x:v>46073</x:v>
      </x:c>
    </x:row>
    <x:row r="1295">
      <x:c r="A1295" s="50" t="str">
        <x:v>EVT001292</x:v>
      </x:c>
      <x:c r="B1295" s="50" t="str">
        <x:v>SYN0643</x:v>
      </x:c>
      <x:c r="C1295" s="50" t="str">
        <x:v>day30_checkin_completed</x:v>
      </x:c>
      <x:c r="D1295" s="51" t="n">
        <x:v>46096</x:v>
      </x:c>
    </x:row>
    <x:row r="1296">
      <x:c r="A1296" s="50" t="str">
        <x:v>EVT001293</x:v>
      </x:c>
      <x:c r="B1296" s="50" t="str">
        <x:v>SYN0643</x:v>
      </x:c>
      <x:c r="C1296" s="50" t="str">
        <x:v>day60_activity_observed</x:v>
      </x:c>
      <x:c r="D1296" s="51" t="n">
        <x:v>46138</x:v>
      </x:c>
    </x:row>
    <x:row r="1297">
      <x:c r="A1297" s="50" t="str">
        <x:v>EVT001294</x:v>
      </x:c>
      <x:c r="B1297" s="50" t="str">
        <x:v>SYN0644</x:v>
      </x:c>
      <x:c r="C1297" s="50" t="str">
        <x:v>coach_contact_completed</x:v>
      </x:c>
      <x:c r="D1297" s="51" t="n">
        <x:v>46039</x:v>
      </x:c>
    </x:row>
    <x:row r="1298">
      <x:c r="A1298" s="50" t="str">
        <x:v>EVT001295</x:v>
      </x:c>
      <x:c r="B1298" s="50" t="str">
        <x:v>SYN0644</x:v>
      </x:c>
      <x:c r="C1298" s="50" t="str">
        <x:v>day30_checkin_completed</x:v>
      </x:c>
      <x:c r="D1298" s="51" t="n">
        <x:v>46066</x:v>
      </x:c>
    </x:row>
    <x:row r="1299">
      <x:c r="A1299" s="50" t="str">
        <x:v>EVT001296</x:v>
      </x:c>
      <x:c r="B1299" s="50" t="str">
        <x:v>SYN0644</x:v>
      </x:c>
      <x:c r="C1299" s="50" t="str">
        <x:v>day60_activity_observed</x:v>
      </x:c>
      <x:c r="D1299" s="51" t="n">
        <x:v>46107</x:v>
      </x:c>
    </x:row>
    <x:row r="1300">
      <x:c r="A1300" s="50" t="str">
        <x:v>EVT001297</x:v>
      </x:c>
      <x:c r="B1300" s="50" t="str">
        <x:v>SYN0645</x:v>
      </x:c>
      <x:c r="C1300" s="50" t="str">
        <x:v>coach_contact_completed</x:v>
      </x:c>
      <x:c r="D1300" s="51" t="n">
        <x:v>46207</x:v>
      </x:c>
    </x:row>
    <x:row r="1301">
      <x:c r="A1301" s="50" t="str">
        <x:v>EVT001298</x:v>
      </x:c>
      <x:c r="B1301" s="50" t="str">
        <x:v>SYN0645</x:v>
      </x:c>
      <x:c r="C1301" s="50" t="str">
        <x:v>day30_checkin_completed</x:v>
      </x:c>
      <x:c r="D1301" s="51" t="n">
        <x:v>46239</x:v>
      </x:c>
    </x:row>
    <x:row r="1302">
      <x:c r="A1302" s="50" t="str">
        <x:v>EVT001299</x:v>
      </x:c>
      <x:c r="B1302" s="50" t="str">
        <x:v>SYN0646</x:v>
      </x:c>
      <x:c r="C1302" s="50" t="str">
        <x:v>coach_contact_completed</x:v>
      </x:c>
      <x:c r="D1302" s="51" t="n">
        <x:v>46267</x:v>
      </x:c>
    </x:row>
    <x:row r="1303">
      <x:c r="A1303" s="50" t="str">
        <x:v>EVT001300</x:v>
      </x:c>
      <x:c r="B1303" s="50" t="str">
        <x:v>SYN0646</x:v>
      </x:c>
      <x:c r="C1303" s="50" t="str">
        <x:v>day30_checkin_completed</x:v>
      </x:c>
      <x:c r="D1303" s="51" t="n">
        <x:v>46293</x:v>
      </x:c>
    </x:row>
    <x:row r="1304">
      <x:c r="A1304" s="50" t="str">
        <x:v>EVT001301</x:v>
      </x:c>
      <x:c r="B1304" s="50" t="str">
        <x:v>SYN0647</x:v>
      </x:c>
      <x:c r="C1304" s="50" t="str">
        <x:v>coach_contact_completed</x:v>
      </x:c>
      <x:c r="D1304" s="51" t="n">
        <x:v>46116</x:v>
      </x:c>
    </x:row>
    <x:row r="1305">
      <x:c r="A1305" s="50" t="str">
        <x:v>EVT001302</x:v>
      </x:c>
      <x:c r="B1305" s="50" t="str">
        <x:v>SYN0648</x:v>
      </x:c>
      <x:c r="C1305" s="50" t="str">
        <x:v>coach_contact_completed</x:v>
      </x:c>
      <x:c r="D1305" s="51" t="n">
        <x:v>46196</x:v>
      </x:c>
    </x:row>
    <x:row r="1306">
      <x:c r="A1306" s="50" t="str">
        <x:v>EVT001303</x:v>
      </x:c>
      <x:c r="B1306" s="50" t="str">
        <x:v>SYN0648</x:v>
      </x:c>
      <x:c r="C1306" s="50" t="str">
        <x:v>day30_checkin_completed</x:v>
      </x:c>
      <x:c r="D1306" s="51" t="n">
        <x:v>46231</x:v>
      </x:c>
    </x:row>
    <x:row r="1307">
      <x:c r="A1307" s="50" t="str">
        <x:v>EVT001304</x:v>
      </x:c>
      <x:c r="B1307" s="50" t="str">
        <x:v>SYN0649</x:v>
      </x:c>
      <x:c r="C1307" s="50" t="str">
        <x:v>coach_contact_completed</x:v>
      </x:c>
      <x:c r="D1307" s="51" t="n">
        <x:v>46080</x:v>
      </x:c>
    </x:row>
    <x:row r="1308">
      <x:c r="A1308" s="50" t="str">
        <x:v>EVT001305</x:v>
      </x:c>
      <x:c r="B1308" s="50" t="str">
        <x:v>SYN0649</x:v>
      </x:c>
      <x:c r="C1308" s="50" t="str">
        <x:v>day30_checkin_completed</x:v>
      </x:c>
      <x:c r="D1308" s="51" t="n">
        <x:v>46105</x:v>
      </x:c>
    </x:row>
    <x:row r="1309">
      <x:c r="A1309" s="50" t="str">
        <x:v>EVT001306</x:v>
      </x:c>
      <x:c r="B1309" s="50" t="str">
        <x:v>SYN0650</x:v>
      </x:c>
      <x:c r="C1309" s="50" t="str">
        <x:v>coach_contact_completed</x:v>
      </x:c>
      <x:c r="D1309" s="51" t="n">
        <x:v>46083</x:v>
      </x:c>
    </x:row>
    <x:row r="1310">
      <x:c r="A1310" s="50" t="str">
        <x:v>EVT001307</x:v>
      </x:c>
      <x:c r="B1310" s="50" t="str">
        <x:v>SYN0650</x:v>
      </x:c>
      <x:c r="C1310" s="50" t="str">
        <x:v>day60_activity_observed</x:v>
      </x:c>
      <x:c r="D1310" s="51" t="n">
        <x:v>46132</x:v>
      </x:c>
    </x:row>
    <x:row r="1311">
      <x:c r="A1311" s="50" t="str">
        <x:v>EVT001308</x:v>
      </x:c>
      <x:c r="B1311" s="50" t="str">
        <x:v>SYN0651</x:v>
      </x:c>
      <x:c r="C1311" s="50" t="str">
        <x:v>coach_contact_completed</x:v>
      </x:c>
      <x:c r="D1311" s="51" t="n">
        <x:v>46089</x:v>
      </x:c>
    </x:row>
    <x:row r="1312">
      <x:c r="A1312" s="50" t="str">
        <x:v>EVT001309</x:v>
      </x:c>
      <x:c r="B1312" s="50" t="str">
        <x:v>SYN0651</x:v>
      </x:c>
      <x:c r="C1312" s="50" t="str">
        <x:v>day30_checkin_completed</x:v>
      </x:c>
      <x:c r="D1312" s="51" t="n">
        <x:v>46108</x:v>
      </x:c>
    </x:row>
    <x:row r="1313">
      <x:c r="A1313" s="50" t="str">
        <x:v>EVT001310</x:v>
      </x:c>
      <x:c r="B1313" s="50" t="str">
        <x:v>SYN0652</x:v>
      </x:c>
      <x:c r="C1313" s="50" t="str">
        <x:v>day30_checkin_completed</x:v>
      </x:c>
      <x:c r="D1313" s="51" t="n">
        <x:v>46269</x:v>
      </x:c>
    </x:row>
    <x:row r="1314">
      <x:c r="A1314" s="50" t="str">
        <x:v>EVT001311</x:v>
      </x:c>
      <x:c r="B1314" s="50" t="str">
        <x:v>SYN0653</x:v>
      </x:c>
      <x:c r="C1314" s="50" t="str">
        <x:v>coach_contact_completed</x:v>
      </x:c>
      <x:c r="D1314" s="51" t="n">
        <x:v>46175</x:v>
      </x:c>
    </x:row>
    <x:row r="1315">
      <x:c r="A1315" s="50" t="str">
        <x:v>EVT001312</x:v>
      </x:c>
      <x:c r="B1315" s="50" t="str">
        <x:v>SYN0653</x:v>
      </x:c>
      <x:c r="C1315" s="50" t="str">
        <x:v>day60_activity_observed</x:v>
      </x:c>
      <x:c r="D1315" s="51" t="n">
        <x:v>46233</x:v>
      </x:c>
    </x:row>
    <x:row r="1316">
      <x:c r="A1316" s="50" t="str">
        <x:v>EVT001313</x:v>
      </x:c>
      <x:c r="B1316" s="50" t="str">
        <x:v>SYN0654</x:v>
      </x:c>
      <x:c r="C1316" s="50" t="str">
        <x:v>coach_contact_completed</x:v>
      </x:c>
      <x:c r="D1316" s="51" t="n">
        <x:v>46182</x:v>
      </x:c>
    </x:row>
    <x:row r="1317">
      <x:c r="A1317" s="50" t="str">
        <x:v>EVT001314</x:v>
      </x:c>
      <x:c r="B1317" s="50" t="str">
        <x:v>SYN0654</x:v>
      </x:c>
      <x:c r="C1317" s="50" t="str">
        <x:v>day30_checkin_completed</x:v>
      </x:c>
      <x:c r="D1317" s="51" t="n">
        <x:v>46217</x:v>
      </x:c>
    </x:row>
    <x:row r="1318">
      <x:c r="A1318" s="50" t="str">
        <x:v>EVT001315</x:v>
      </x:c>
      <x:c r="B1318" s="50" t="str">
        <x:v>SYN0655</x:v>
      </x:c>
      <x:c r="C1318" s="50" t="str">
        <x:v>coach_contact_completed</x:v>
      </x:c>
      <x:c r="D1318" s="51" t="n">
        <x:v>46094</x:v>
      </x:c>
    </x:row>
    <x:row r="1319">
      <x:c r="A1319" s="50" t="str">
        <x:v>EVT001316</x:v>
      </x:c>
      <x:c r="B1319" s="50" t="str">
        <x:v>SYN0655</x:v>
      </x:c>
      <x:c r="C1319" s="50" t="str">
        <x:v>day30_checkin_completed</x:v>
      </x:c>
      <x:c r="D1319" s="51" t="n">
        <x:v>46126</x:v>
      </x:c>
    </x:row>
    <x:row r="1320">
      <x:c r="A1320" s="50" t="str">
        <x:v>EVT001317</x:v>
      </x:c>
      <x:c r="B1320" s="50" t="str">
        <x:v>SYN0656</x:v>
      </x:c>
      <x:c r="C1320" s="50" t="str">
        <x:v>day30_checkin_completed</x:v>
      </x:c>
      <x:c r="D1320" s="51" t="n">
        <x:v>46148</x:v>
      </x:c>
    </x:row>
    <x:row r="1321">
      <x:c r="A1321" s="50" t="str">
        <x:v>EVT001318</x:v>
      </x:c>
      <x:c r="B1321" s="50" t="str">
        <x:v>SYN0657</x:v>
      </x:c>
      <x:c r="C1321" s="50" t="str">
        <x:v>coach_contact_completed</x:v>
      </x:c>
      <x:c r="D1321" s="51" t="n">
        <x:v>46089</x:v>
      </x:c>
    </x:row>
    <x:row r="1322">
      <x:c r="A1322" s="50" t="str">
        <x:v>EVT001319</x:v>
      </x:c>
      <x:c r="B1322" s="50" t="str">
        <x:v>SYN0657</x:v>
      </x:c>
      <x:c r="C1322" s="50" t="str">
        <x:v>day30_checkin_completed</x:v>
      </x:c>
      <x:c r="D1322" s="51" t="n">
        <x:v>46114</x:v>
      </x:c>
    </x:row>
    <x:row r="1323">
      <x:c r="A1323" s="50" t="str">
        <x:v>EVT001320</x:v>
      </x:c>
      <x:c r="B1323" s="50" t="str">
        <x:v>SYN0657</x:v>
      </x:c>
      <x:c r="C1323" s="50" t="str">
        <x:v>day60_activity_observed</x:v>
      </x:c>
      <x:c r="D1323" s="51" t="n">
        <x:v>46151</x:v>
      </x:c>
    </x:row>
    <x:row r="1324">
      <x:c r="A1324" s="50" t="str">
        <x:v>EVT001321</x:v>
      </x:c>
      <x:c r="B1324" s="50" t="str">
        <x:v>SYN0658</x:v>
      </x:c>
      <x:c r="C1324" s="50" t="str">
        <x:v>coach_contact_completed</x:v>
      </x:c>
      <x:c r="D1324" s="51" t="n">
        <x:v>46158</x:v>
      </x:c>
    </x:row>
    <x:row r="1325">
      <x:c r="A1325" s="50" t="str">
        <x:v>EVT001322</x:v>
      </x:c>
      <x:c r="B1325" s="50" t="str">
        <x:v>SYN0658</x:v>
      </x:c>
      <x:c r="C1325" s="50" t="str">
        <x:v>day30_checkin_completed</x:v>
      </x:c>
      <x:c r="D1325" s="51" t="n">
        <x:v>46191</x:v>
      </x:c>
    </x:row>
    <x:row r="1326">
      <x:c r="A1326" s="50" t="str">
        <x:v>EVT001323</x:v>
      </x:c>
      <x:c r="B1326" s="50" t="str">
        <x:v>SYN0658</x:v>
      </x:c>
      <x:c r="C1326" s="50" t="str">
        <x:v>day60_activity_observed</x:v>
      </x:c>
      <x:c r="D1326" s="51" t="n">
        <x:v>46228</x:v>
      </x:c>
    </x:row>
    <x:row r="1327">
      <x:c r="A1327" s="50" t="str">
        <x:v>EVT001324</x:v>
      </x:c>
      <x:c r="B1327" s="50" t="str">
        <x:v>SYN0659</x:v>
      </x:c>
      <x:c r="C1327" s="50" t="str">
        <x:v>coach_contact_completed</x:v>
      </x:c>
      <x:c r="D1327" s="51" t="n">
        <x:v>46061</x:v>
      </x:c>
    </x:row>
    <x:row r="1328">
      <x:c r="A1328" s="50" t="str">
        <x:v>EVT001325</x:v>
      </x:c>
      <x:c r="B1328" s="50" t="str">
        <x:v>SYN0659</x:v>
      </x:c>
      <x:c r="C1328" s="50" t="str">
        <x:v>day30_checkin_completed</x:v>
      </x:c>
      <x:c r="D1328" s="51" t="n">
        <x:v>46083</x:v>
      </x:c>
    </x:row>
    <x:row r="1329">
      <x:c r="A1329" s="50" t="str">
        <x:v>EVT001326</x:v>
      </x:c>
      <x:c r="B1329" s="50" t="str">
        <x:v>SYN0660</x:v>
      </x:c>
      <x:c r="C1329" s="50" t="str">
        <x:v>coach_contact_completed</x:v>
      </x:c>
      <x:c r="D1329" s="51" t="n">
        <x:v>46162</x:v>
      </x:c>
    </x:row>
    <x:row r="1330">
      <x:c r="A1330" s="50" t="str">
        <x:v>EVT001327</x:v>
      </x:c>
      <x:c r="B1330" s="50" t="str">
        <x:v>SYN0660</x:v>
      </x:c>
      <x:c r="C1330" s="50" t="str">
        <x:v>day30_checkin_completed</x:v>
      </x:c>
      <x:c r="D1330" s="51" t="n">
        <x:v>46191</x:v>
      </x:c>
    </x:row>
    <x:row r="1331">
      <x:c r="A1331" s="50" t="str">
        <x:v>EVT001328</x:v>
      </x:c>
      <x:c r="B1331" s="50" t="str">
        <x:v>SYN0660</x:v>
      </x:c>
      <x:c r="C1331" s="50" t="str">
        <x:v>day60_activity_observed</x:v>
      </x:c>
      <x:c r="D1331" s="51" t="n">
        <x:v>46229</x:v>
      </x:c>
    </x:row>
    <x:row r="1332">
      <x:c r="A1332" s="50" t="str">
        <x:v>EVT001329</x:v>
      </x:c>
      <x:c r="B1332" s="50" t="str">
        <x:v>SYN0661</x:v>
      </x:c>
      <x:c r="C1332" s="50" t="str">
        <x:v>coach_contact_completed</x:v>
      </x:c>
      <x:c r="D1332" s="51" t="n">
        <x:v>46177</x:v>
      </x:c>
    </x:row>
    <x:row r="1333">
      <x:c r="A1333" s="50" t="str">
        <x:v>EVT001330</x:v>
      </x:c>
      <x:c r="B1333" s="50" t="str">
        <x:v>SYN0661</x:v>
      </x:c>
      <x:c r="C1333" s="50" t="str">
        <x:v>day30_checkin_completed</x:v>
      </x:c>
      <x:c r="D1333" s="51" t="n">
        <x:v>46205</x:v>
      </x:c>
    </x:row>
    <x:row r="1334">
      <x:c r="A1334" s="50" t="str">
        <x:v>EVT001331</x:v>
      </x:c>
      <x:c r="B1334" s="50" t="str">
        <x:v>SYN0662</x:v>
      </x:c>
      <x:c r="C1334" s="50" t="str">
        <x:v>coach_contact_completed</x:v>
      </x:c>
      <x:c r="D1334" s="51" t="n">
        <x:v>46094</x:v>
      </x:c>
    </x:row>
    <x:row r="1335">
      <x:c r="A1335" s="50" t="str">
        <x:v>EVT001332</x:v>
      </x:c>
      <x:c r="B1335" s="50" t="str">
        <x:v>SYN0662</x:v>
      </x:c>
      <x:c r="C1335" s="50" t="str">
        <x:v>day30_checkin_completed</x:v>
      </x:c>
      <x:c r="D1335" s="51" t="n">
        <x:v>46126</x:v>
      </x:c>
    </x:row>
    <x:row r="1336">
      <x:c r="A1336" s="50" t="str">
        <x:v>EVT001333</x:v>
      </x:c>
      <x:c r="B1336" s="50" t="str">
        <x:v>SYN0663</x:v>
      </x:c>
      <x:c r="C1336" s="50" t="str">
        <x:v>coach_contact_completed</x:v>
      </x:c>
      <x:c r="D1336" s="51" t="n">
        <x:v>46111</x:v>
      </x:c>
    </x:row>
    <x:row r="1337">
      <x:c r="A1337" s="50" t="str">
        <x:v>EVT001334</x:v>
      </x:c>
      <x:c r="B1337" s="50" t="str">
        <x:v>SYN0663</x:v>
      </x:c>
      <x:c r="C1337" s="50" t="str">
        <x:v>day30_checkin_completed</x:v>
      </x:c>
      <x:c r="D1337" s="51" t="n">
        <x:v>46143</x:v>
      </x:c>
    </x:row>
    <x:row r="1338">
      <x:c r="A1338" s="50" t="str">
        <x:v>EVT001335</x:v>
      </x:c>
      <x:c r="B1338" s="50" t="str">
        <x:v>SYN0663</x:v>
      </x:c>
      <x:c r="C1338" s="50" t="str">
        <x:v>day60_activity_observed</x:v>
      </x:c>
      <x:c r="D1338" s="51" t="n">
        <x:v>46169</x:v>
      </x:c>
    </x:row>
    <x:row r="1339">
      <x:c r="A1339" s="50" t="str">
        <x:v>EVT001336</x:v>
      </x:c>
      <x:c r="B1339" s="50" t="str">
        <x:v>SYN0664</x:v>
      </x:c>
      <x:c r="C1339" s="50" t="str">
        <x:v>day60_activity_observed</x:v>
      </x:c>
      <x:c r="D1339" s="51" t="n">
        <x:v>46100</x:v>
      </x:c>
    </x:row>
    <x:row r="1340">
      <x:c r="A1340" s="50" t="str">
        <x:v>EVT001337</x:v>
      </x:c>
      <x:c r="B1340" s="50" t="str">
        <x:v>SYN0665</x:v>
      </x:c>
      <x:c r="C1340" s="50" t="str">
        <x:v>day30_checkin_completed</x:v>
      </x:c>
      <x:c r="D1340" s="51" t="n">
        <x:v>46187</x:v>
      </x:c>
    </x:row>
    <x:row r="1341">
      <x:c r="A1341" s="50" t="str">
        <x:v>EVT001338</x:v>
      </x:c>
      <x:c r="B1341" s="50" t="str">
        <x:v>SYN0665</x:v>
      </x:c>
      <x:c r="C1341" s="50" t="str">
        <x:v>day60_activity_observed</x:v>
      </x:c>
      <x:c r="D1341" s="51" t="n">
        <x:v>46217</x:v>
      </x:c>
    </x:row>
    <x:row r="1342">
      <x:c r="A1342" s="50" t="str">
        <x:v>EVT001339</x:v>
      </x:c>
      <x:c r="B1342" s="50" t="str">
        <x:v>SYN0666</x:v>
      </x:c>
      <x:c r="C1342" s="50" t="str">
        <x:v>coach_contact_completed</x:v>
      </x:c>
      <x:c r="D1342" s="51" t="n">
        <x:v>46069</x:v>
      </x:c>
    </x:row>
    <x:row r="1343">
      <x:c r="A1343" s="50" t="str">
        <x:v>EVT001340</x:v>
      </x:c>
      <x:c r="B1343" s="50" t="str">
        <x:v>SYN0666</x:v>
      </x:c>
      <x:c r="C1343" s="50" t="str">
        <x:v>day30_checkin_completed</x:v>
      </x:c>
      <x:c r="D1343" s="51" t="n">
        <x:v>46101</x:v>
      </x:c>
    </x:row>
    <x:row r="1344">
      <x:c r="A1344" s="50" t="str">
        <x:v>EVT001341</x:v>
      </x:c>
      <x:c r="B1344" s="50" t="str">
        <x:v>SYN0666</x:v>
      </x:c>
      <x:c r="C1344" s="50" t="str">
        <x:v>day60_activity_observed</x:v>
      </x:c>
      <x:c r="D1344" s="51" t="n">
        <x:v>46142</x:v>
      </x:c>
    </x:row>
    <x:row r="1345">
      <x:c r="A1345" s="50" t="str">
        <x:v>EVT001342</x:v>
      </x:c>
      <x:c r="B1345" s="50" t="str">
        <x:v>SYN0667</x:v>
      </x:c>
      <x:c r="C1345" s="50" t="str">
        <x:v>coach_contact_completed</x:v>
      </x:c>
      <x:c r="D1345" s="51" t="n">
        <x:v>46182</x:v>
      </x:c>
    </x:row>
    <x:row r="1346">
      <x:c r="A1346" s="50" t="str">
        <x:v>EVT001343</x:v>
      </x:c>
      <x:c r="B1346" s="50" t="str">
        <x:v>SYN0667</x:v>
      </x:c>
      <x:c r="C1346" s="50" t="str">
        <x:v>day30_checkin_completed</x:v>
      </x:c>
      <x:c r="D1346" s="51" t="n">
        <x:v>46208</x:v>
      </x:c>
    </x:row>
    <x:row r="1347">
      <x:c r="A1347" s="50" t="str">
        <x:v>EVT001344</x:v>
      </x:c>
      <x:c r="B1347" s="50" t="str">
        <x:v>SYN0667</x:v>
      </x:c>
      <x:c r="C1347" s="50" t="str">
        <x:v>day60_activity_observed</x:v>
      </x:c>
      <x:c r="D1347" s="51" t="n">
        <x:v>46246</x:v>
      </x:c>
    </x:row>
    <x:row r="1348">
      <x:c r="A1348" s="50" t="str">
        <x:v>EVT001345</x:v>
      </x:c>
      <x:c r="B1348" s="50" t="str">
        <x:v>SYN0668</x:v>
      </x:c>
      <x:c r="C1348" s="50" t="str">
        <x:v>day30_checkin_completed</x:v>
      </x:c>
      <x:c r="D1348" s="51" t="n">
        <x:v>46173</x:v>
      </x:c>
    </x:row>
    <x:row r="1349">
      <x:c r="A1349" s="50" t="str">
        <x:v>EVT001346</x:v>
      </x:c>
      <x:c r="B1349" s="50" t="str">
        <x:v>SYN0668</x:v>
      </x:c>
      <x:c r="C1349" s="50" t="str">
        <x:v>day60_activity_observed</x:v>
      </x:c>
      <x:c r="D1349" s="51" t="n">
        <x:v>46215</x:v>
      </x:c>
    </x:row>
    <x:row r="1350">
      <x:c r="A1350" s="50" t="str">
        <x:v>EVT001347</x:v>
      </x:c>
      <x:c r="B1350" s="50" t="str">
        <x:v>SYN0669</x:v>
      </x:c>
      <x:c r="C1350" s="50" t="str">
        <x:v>coach_contact_completed</x:v>
      </x:c>
      <x:c r="D1350" s="51" t="n">
        <x:v>46167</x:v>
      </x:c>
    </x:row>
    <x:row r="1351">
      <x:c r="A1351" s="50" t="str">
        <x:v>EVT001348</x:v>
      </x:c>
      <x:c r="B1351" s="50" t="str">
        <x:v>SYN0670</x:v>
      </x:c>
      <x:c r="C1351" s="50" t="str">
        <x:v>coach_contact_completed</x:v>
      </x:c>
      <x:c r="D1351" s="51" t="n">
        <x:v>46199</x:v>
      </x:c>
    </x:row>
    <x:row r="1352">
      <x:c r="A1352" s="50" t="str">
        <x:v>EVT001349</x:v>
      </x:c>
      <x:c r="B1352" s="50" t="str">
        <x:v>SYN0670</x:v>
      </x:c>
      <x:c r="C1352" s="50" t="str">
        <x:v>day30_checkin_completed</x:v>
      </x:c>
      <x:c r="D1352" s="51" t="n">
        <x:v>46235</x:v>
      </x:c>
    </x:row>
    <x:row r="1353">
      <x:c r="A1353" s="50" t="str">
        <x:v>EVT001350</x:v>
      </x:c>
      <x:c r="B1353" s="50" t="str">
        <x:v>SYN0670</x:v>
      </x:c>
      <x:c r="C1353" s="50" t="str">
        <x:v>day60_activity_observed</x:v>
      </x:c>
      <x:c r="D1353" s="51" t="n">
        <x:v>46267</x:v>
      </x:c>
    </x:row>
    <x:row r="1354">
      <x:c r="A1354" s="50" t="str">
        <x:v>EVT001351</x:v>
      </x:c>
      <x:c r="B1354" s="50" t="str">
        <x:v>SYN0671</x:v>
      </x:c>
      <x:c r="C1354" s="50" t="str">
        <x:v>coach_contact_completed</x:v>
      </x:c>
      <x:c r="D1354" s="51" t="n">
        <x:v>46260</x:v>
      </x:c>
    </x:row>
    <x:row r="1355">
      <x:c r="A1355" s="50" t="str">
        <x:v>EVT001352</x:v>
      </x:c>
      <x:c r="B1355" s="50" t="str">
        <x:v>SYN0671</x:v>
      </x:c>
      <x:c r="C1355" s="50" t="str">
        <x:v>day30_checkin_completed</x:v>
      </x:c>
      <x:c r="D1355" s="51" t="n">
        <x:v>46287</x:v>
      </x:c>
    </x:row>
    <x:row r="1356">
      <x:c r="A1356" s="50" t="str">
        <x:v>EVT001353</x:v>
      </x:c>
      <x:c r="B1356" s="50" t="str">
        <x:v>SYN0672</x:v>
      </x:c>
      <x:c r="C1356" s="50" t="str">
        <x:v>coach_contact_completed</x:v>
      </x:c>
      <x:c r="D1356" s="51" t="n">
        <x:v>46034</x:v>
      </x:c>
    </x:row>
    <x:row r="1357">
      <x:c r="A1357" s="50" t="str">
        <x:v>EVT001354</x:v>
      </x:c>
      <x:c r="B1357" s="50" t="str">
        <x:v>SYN0672</x:v>
      </x:c>
      <x:c r="C1357" s="50" t="str">
        <x:v>day30_checkin_completed</x:v>
      </x:c>
      <x:c r="D1357" s="51" t="n">
        <x:v>46064</x:v>
      </x:c>
    </x:row>
    <x:row r="1358">
      <x:c r="A1358" s="50" t="str">
        <x:v>EVT001355</x:v>
      </x:c>
      <x:c r="B1358" s="50" t="str">
        <x:v>SYN0673</x:v>
      </x:c>
      <x:c r="C1358" s="50" t="str">
        <x:v>coach_contact_completed</x:v>
      </x:c>
      <x:c r="D1358" s="51" t="n">
        <x:v>46178</x:v>
      </x:c>
    </x:row>
    <x:row r="1359">
      <x:c r="A1359" s="50" t="str">
        <x:v>EVT001356</x:v>
      </x:c>
      <x:c r="B1359" s="50" t="str">
        <x:v>SYN0673</x:v>
      </x:c>
      <x:c r="C1359" s="50" t="str">
        <x:v>day60_activity_observed</x:v>
      </x:c>
      <x:c r="D1359" s="51" t="n">
        <x:v>46231</x:v>
      </x:c>
    </x:row>
    <x:row r="1360">
      <x:c r="A1360" s="50" t="str">
        <x:v>EVT001357</x:v>
      </x:c>
      <x:c r="B1360" s="50" t="str">
        <x:v>SYN0674</x:v>
      </x:c>
      <x:c r="C1360" s="50" t="str">
        <x:v>coach_contact_completed</x:v>
      </x:c>
      <x:c r="D1360" s="51" t="n">
        <x:v>46096</x:v>
      </x:c>
    </x:row>
    <x:row r="1361">
      <x:c r="A1361" s="50" t="str">
        <x:v>EVT001358</x:v>
      </x:c>
      <x:c r="B1361" s="50" t="str">
        <x:v>SYN0674</x:v>
      </x:c>
      <x:c r="C1361" s="50" t="str">
        <x:v>day60_activity_observed</x:v>
      </x:c>
      <x:c r="D1361" s="51" t="n">
        <x:v>46155</x:v>
      </x:c>
    </x:row>
    <x:row r="1362">
      <x:c r="A1362" s="50" t="str">
        <x:v>EVT001359</x:v>
      </x:c>
      <x:c r="B1362" s="50" t="str">
        <x:v>SYN0675</x:v>
      </x:c>
      <x:c r="C1362" s="50" t="str">
        <x:v>coach_contact_completed</x:v>
      </x:c>
      <x:c r="D1362" s="51" t="n">
        <x:v>46046</x:v>
      </x:c>
    </x:row>
    <x:row r="1363">
      <x:c r="A1363" s="50" t="str">
        <x:v>EVT001360</x:v>
      </x:c>
      <x:c r="B1363" s="50" t="str">
        <x:v>SYN0675</x:v>
      </x:c>
      <x:c r="C1363" s="50" t="str">
        <x:v>day30_checkin_completed</x:v>
      </x:c>
      <x:c r="D1363" s="51" t="n">
        <x:v>46075</x:v>
      </x:c>
    </x:row>
    <x:row r="1364">
      <x:c r="A1364" s="50" t="str">
        <x:v>EVT001361</x:v>
      </x:c>
      <x:c r="B1364" s="50" t="str">
        <x:v>SYN0676</x:v>
      </x:c>
      <x:c r="C1364" s="50" t="str">
        <x:v>coach_contact_completed</x:v>
      </x:c>
      <x:c r="D1364" s="51" t="n">
        <x:v>46180</x:v>
      </x:c>
    </x:row>
    <x:row r="1365">
      <x:c r="A1365" s="50" t="str">
        <x:v>EVT001362</x:v>
      </x:c>
      <x:c r="B1365" s="50" t="str">
        <x:v>SYN0676</x:v>
      </x:c>
      <x:c r="C1365" s="50" t="str">
        <x:v>day30_checkin_completed</x:v>
      </x:c>
      <x:c r="D1365" s="51" t="n">
        <x:v>46204</x:v>
      </x:c>
    </x:row>
    <x:row r="1366">
      <x:c r="A1366" s="50" t="str">
        <x:v>EVT001363</x:v>
      </x:c>
      <x:c r="B1366" s="50" t="str">
        <x:v>SYN0677</x:v>
      </x:c>
      <x:c r="C1366" s="50" t="str">
        <x:v>coach_contact_completed</x:v>
      </x:c>
      <x:c r="D1366" s="51" t="n">
        <x:v>46026</x:v>
      </x:c>
    </x:row>
    <x:row r="1367">
      <x:c r="A1367" s="50" t="str">
        <x:v>EVT001364</x:v>
      </x:c>
      <x:c r="B1367" s="50" t="str">
        <x:v>SYN0677</x:v>
      </x:c>
      <x:c r="C1367" s="50" t="str">
        <x:v>day60_activity_observed</x:v>
      </x:c>
      <x:c r="D1367" s="51" t="n">
        <x:v>46093</x:v>
      </x:c>
    </x:row>
    <x:row r="1368">
      <x:c r="A1368" s="50" t="str">
        <x:v>EVT001365</x:v>
      </x:c>
      <x:c r="B1368" s="50" t="str">
        <x:v>SYN0679</x:v>
      </x:c>
      <x:c r="C1368" s="50" t="str">
        <x:v>coach_contact_completed</x:v>
      </x:c>
      <x:c r="D1368" s="51" t="n">
        <x:v>46079</x:v>
      </x:c>
    </x:row>
    <x:row r="1369">
      <x:c r="A1369" s="50" t="str">
        <x:v>EVT001366</x:v>
      </x:c>
      <x:c r="B1369" s="50" t="str">
        <x:v>SYN0679</x:v>
      </x:c>
      <x:c r="C1369" s="50" t="str">
        <x:v>day30_checkin_completed</x:v>
      </x:c>
      <x:c r="D1369" s="51" t="n">
        <x:v>46108</x:v>
      </x:c>
    </x:row>
    <x:row r="1370">
      <x:c r="A1370" s="50" t="str">
        <x:v>EVT001367</x:v>
      </x:c>
      <x:c r="B1370" s="50" t="str">
        <x:v>SYN0679</x:v>
      </x:c>
      <x:c r="C1370" s="50" t="str">
        <x:v>day60_activity_observed</x:v>
      </x:c>
      <x:c r="D1370" s="51" t="n">
        <x:v>46140</x:v>
      </x:c>
    </x:row>
    <x:row r="1371">
      <x:c r="A1371" s="50" t="str">
        <x:v>EVT001368</x:v>
      </x:c>
      <x:c r="B1371" s="50" t="str">
        <x:v>SYN0680</x:v>
      </x:c>
      <x:c r="C1371" s="50" t="str">
        <x:v>day30_checkin_completed</x:v>
      </x:c>
      <x:c r="D1371" s="51" t="n">
        <x:v>46155</x:v>
      </x:c>
    </x:row>
    <x:row r="1372">
      <x:c r="A1372" s="50" t="str">
        <x:v>EVT001369</x:v>
      </x:c>
      <x:c r="B1372" s="50" t="str">
        <x:v>SYN0680</x:v>
      </x:c>
      <x:c r="C1372" s="50" t="str">
        <x:v>day60_activity_observed</x:v>
      </x:c>
      <x:c r="D1372" s="51" t="n">
        <x:v>46183</x:v>
      </x:c>
    </x:row>
    <x:row r="1373">
      <x:c r="A1373" s="50" t="str">
        <x:v>EVT001370</x:v>
      </x:c>
      <x:c r="B1373" s="50" t="str">
        <x:v>SYN0681</x:v>
      </x:c>
      <x:c r="C1373" s="50" t="str">
        <x:v>coach_contact_completed</x:v>
      </x:c>
      <x:c r="D1373" s="51" t="n">
        <x:v>46175</x:v>
      </x:c>
    </x:row>
    <x:row r="1374">
      <x:c r="A1374" s="50" t="str">
        <x:v>EVT001371</x:v>
      </x:c>
      <x:c r="B1374" s="50" t="str">
        <x:v>SYN0681</x:v>
      </x:c>
      <x:c r="C1374" s="50" t="str">
        <x:v>day30_checkin_completed</x:v>
      </x:c>
      <x:c r="D1374" s="51" t="n">
        <x:v>46196</x:v>
      </x:c>
    </x:row>
    <x:row r="1375">
      <x:c r="A1375" s="50" t="str">
        <x:v>EVT001372</x:v>
      </x:c>
      <x:c r="B1375" s="50" t="str">
        <x:v>SYN0681</x:v>
      </x:c>
      <x:c r="C1375" s="50" t="str">
        <x:v>day60_activity_observed</x:v>
      </x:c>
      <x:c r="D1375" s="51" t="n">
        <x:v>46236</x:v>
      </x:c>
    </x:row>
    <x:row r="1376">
      <x:c r="A1376" s="50" t="str">
        <x:v>EVT001373</x:v>
      </x:c>
      <x:c r="B1376" s="50" t="str">
        <x:v>SYN0682</x:v>
      </x:c>
      <x:c r="C1376" s="50" t="str">
        <x:v>coach_contact_completed</x:v>
      </x:c>
      <x:c r="D1376" s="51" t="n">
        <x:v>46056</x:v>
      </x:c>
    </x:row>
    <x:row r="1377">
      <x:c r="A1377" s="50" t="str">
        <x:v>EVT001374</x:v>
      </x:c>
      <x:c r="B1377" s="50" t="str">
        <x:v>SYN0682</x:v>
      </x:c>
      <x:c r="C1377" s="50" t="str">
        <x:v>day30_checkin_completed</x:v>
      </x:c>
      <x:c r="D1377" s="51" t="n">
        <x:v>46075</x:v>
      </x:c>
    </x:row>
    <x:row r="1378">
      <x:c r="A1378" s="50" t="str">
        <x:v>EVT001375</x:v>
      </x:c>
      <x:c r="B1378" s="50" t="str">
        <x:v>SYN0682</x:v>
      </x:c>
      <x:c r="C1378" s="50" t="str">
        <x:v>day60_activity_observed</x:v>
      </x:c>
      <x:c r="D1378" s="51" t="n">
        <x:v>46110</x:v>
      </x:c>
    </x:row>
    <x:row r="1379">
      <x:c r="A1379" s="50" t="str">
        <x:v>EVT001376</x:v>
      </x:c>
      <x:c r="B1379" s="50" t="str">
        <x:v>SYN0683</x:v>
      </x:c>
      <x:c r="C1379" s="50" t="str">
        <x:v>coach_contact_completed</x:v>
      </x:c>
      <x:c r="D1379" s="51" t="n">
        <x:v>46082</x:v>
      </x:c>
    </x:row>
    <x:row r="1380">
      <x:c r="A1380" s="50" t="str">
        <x:v>EVT001377</x:v>
      </x:c>
      <x:c r="B1380" s="50" t="str">
        <x:v>SYN0683</x:v>
      </x:c>
      <x:c r="C1380" s="50" t="str">
        <x:v>day30_checkin_completed</x:v>
      </x:c>
      <x:c r="D1380" s="51" t="n">
        <x:v>46114</x:v>
      </x:c>
    </x:row>
    <x:row r="1381">
      <x:c r="A1381" s="50" t="str">
        <x:v>EVT001378</x:v>
      </x:c>
      <x:c r="B1381" s="50" t="str">
        <x:v>SYN0683</x:v>
      </x:c>
      <x:c r="C1381" s="50" t="str">
        <x:v>day60_activity_observed</x:v>
      </x:c>
      <x:c r="D1381" s="51" t="n">
        <x:v>46152</x:v>
      </x:c>
    </x:row>
    <x:row r="1382">
      <x:c r="A1382" s="50" t="str">
        <x:v>EVT001379</x:v>
      </x:c>
      <x:c r="B1382" s="50" t="str">
        <x:v>SYN0684</x:v>
      </x:c>
      <x:c r="C1382" s="50" t="str">
        <x:v>coach_contact_completed</x:v>
      </x:c>
      <x:c r="D1382" s="51" t="n">
        <x:v>46123</x:v>
      </x:c>
    </x:row>
    <x:row r="1383">
      <x:c r="A1383" s="50" t="str">
        <x:v>EVT001380</x:v>
      </x:c>
      <x:c r="B1383" s="50" t="str">
        <x:v>SYN0684</x:v>
      </x:c>
      <x:c r="C1383" s="50" t="str">
        <x:v>day60_activity_observed</x:v>
      </x:c>
      <x:c r="D1383" s="51" t="n">
        <x:v>46184</x:v>
      </x:c>
    </x:row>
    <x:row r="1384">
      <x:c r="A1384" s="50" t="str">
        <x:v>EVT001381</x:v>
      </x:c>
      <x:c r="B1384" s="50" t="str">
        <x:v>SYN0685</x:v>
      </x:c>
      <x:c r="C1384" s="50" t="str">
        <x:v>day30_checkin_completed</x:v>
      </x:c>
      <x:c r="D1384" s="51" t="n">
        <x:v>46176</x:v>
      </x:c>
    </x:row>
    <x:row r="1385">
      <x:c r="A1385" s="50" t="str">
        <x:v>EVT001382</x:v>
      </x:c>
      <x:c r="B1385" s="50" t="str">
        <x:v>SYN0686</x:v>
      </x:c>
      <x:c r="C1385" s="50" t="str">
        <x:v>coach_contact_completed</x:v>
      </x:c>
      <x:c r="D1385" s="51" t="n">
        <x:v>46029</x:v>
      </x:c>
    </x:row>
    <x:row r="1386">
      <x:c r="A1386" s="50" t="str">
        <x:v>EVT001383</x:v>
      </x:c>
      <x:c r="B1386" s="50" t="str">
        <x:v>SYN0686</x:v>
      </x:c>
      <x:c r="C1386" s="50" t="str">
        <x:v>day30_checkin_completed</x:v>
      </x:c>
      <x:c r="D1386" s="51" t="n">
        <x:v>46064</x:v>
      </x:c>
    </x:row>
    <x:row r="1387">
      <x:c r="A1387" s="50" t="str">
        <x:v>EVT001384</x:v>
      </x:c>
      <x:c r="B1387" s="50" t="str">
        <x:v>SYN0686</x:v>
      </x:c>
      <x:c r="C1387" s="50" t="str">
        <x:v>day60_activity_observed</x:v>
      </x:c>
      <x:c r="D1387" s="51" t="n">
        <x:v>46102</x:v>
      </x:c>
    </x:row>
    <x:row r="1388">
      <x:c r="A1388" s="50" t="str">
        <x:v>EVT001385</x:v>
      </x:c>
      <x:c r="B1388" s="50" t="str">
        <x:v>SYN0687</x:v>
      </x:c>
      <x:c r="C1388" s="50" t="str">
        <x:v>day30_checkin_completed</x:v>
      </x:c>
      <x:c r="D1388" s="51" t="n">
        <x:v>46190</x:v>
      </x:c>
    </x:row>
    <x:row r="1389">
      <x:c r="A1389" s="50" t="str">
        <x:v>EVT001386</x:v>
      </x:c>
      <x:c r="B1389" s="50" t="str">
        <x:v>SYN0687</x:v>
      </x:c>
      <x:c r="C1389" s="50" t="str">
        <x:v>day60_activity_observed</x:v>
      </x:c>
      <x:c r="D1389" s="51" t="n">
        <x:v>46225</x:v>
      </x:c>
    </x:row>
    <x:row r="1390">
      <x:c r="A1390" s="50" t="str">
        <x:v>EVT001387</x:v>
      </x:c>
      <x:c r="B1390" s="50" t="str">
        <x:v>SYN0688</x:v>
      </x:c>
      <x:c r="C1390" s="50" t="str">
        <x:v>coach_contact_completed</x:v>
      </x:c>
      <x:c r="D1390" s="51" t="n">
        <x:v>46267</x:v>
      </x:c>
    </x:row>
    <x:row r="1391">
      <x:c r="A1391" s="50" t="str">
        <x:v>EVT001388</x:v>
      </x:c>
      <x:c r="B1391" s="50" t="str">
        <x:v>SYN0689</x:v>
      </x:c>
      <x:c r="C1391" s="50" t="str">
        <x:v>coach_contact_completed</x:v>
      </x:c>
      <x:c r="D1391" s="51" t="n">
        <x:v>46249</x:v>
      </x:c>
    </x:row>
    <x:row r="1392">
      <x:c r="A1392" s="50" t="str">
        <x:v>EVT001389</x:v>
      </x:c>
      <x:c r="B1392" s="50" t="str">
        <x:v>SYN0689</x:v>
      </x:c>
      <x:c r="C1392" s="50" t="str">
        <x:v>day30_checkin_completed</x:v>
      </x:c>
      <x:c r="D1392" s="51" t="n">
        <x:v>46270</x:v>
      </x:c>
    </x:row>
    <x:row r="1393">
      <x:c r="A1393" s="50" t="str">
        <x:v>EVT001390</x:v>
      </x:c>
      <x:c r="B1393" s="50" t="str">
        <x:v>SYN0690</x:v>
      </x:c>
      <x:c r="C1393" s="50" t="str">
        <x:v>coach_contact_completed</x:v>
      </x:c>
      <x:c r="D1393" s="51" t="n">
        <x:v>46260</x:v>
      </x:c>
    </x:row>
    <x:row r="1394">
      <x:c r="A1394" s="50" t="str">
        <x:v>EVT001391</x:v>
      </x:c>
      <x:c r="B1394" s="50" t="str">
        <x:v>SYN0690</x:v>
      </x:c>
      <x:c r="C1394" s="50" t="str">
        <x:v>day30_checkin_completed</x:v>
      </x:c>
      <x:c r="D1394" s="51" t="n">
        <x:v>46291</x:v>
      </x:c>
    </x:row>
    <x:row r="1395">
      <x:c r="A1395" s="50" t="str">
        <x:v>EVT001392</x:v>
      </x:c>
      <x:c r="B1395" s="50" t="str">
        <x:v>SYN0691</x:v>
      </x:c>
      <x:c r="C1395" s="50" t="str">
        <x:v>day30_checkin_completed</x:v>
      </x:c>
      <x:c r="D1395" s="51" t="n">
        <x:v>46121</x:v>
      </x:c>
    </x:row>
    <x:row r="1396">
      <x:c r="A1396" s="50" t="str">
        <x:v>EVT001393</x:v>
      </x:c>
      <x:c r="B1396" s="50" t="str">
        <x:v>SYN0691</x:v>
      </x:c>
      <x:c r="C1396" s="50" t="str">
        <x:v>day60_activity_observed</x:v>
      </x:c>
      <x:c r="D1396" s="51" t="n">
        <x:v>46152</x:v>
      </x:c>
    </x:row>
    <x:row r="1397">
      <x:c r="A1397" s="50" t="str">
        <x:v>EVT001394</x:v>
      </x:c>
      <x:c r="B1397" s="50" t="str">
        <x:v>SYN0692</x:v>
      </x:c>
      <x:c r="C1397" s="50" t="str">
        <x:v>coach_contact_completed</x:v>
      </x:c>
      <x:c r="D1397" s="51" t="n">
        <x:v>46198</x:v>
      </x:c>
    </x:row>
    <x:row r="1398">
      <x:c r="A1398" s="50" t="str">
        <x:v>EVT001395</x:v>
      </x:c>
      <x:c r="B1398" s="50" t="str">
        <x:v>SYN0692</x:v>
      </x:c>
      <x:c r="C1398" s="50" t="str">
        <x:v>day30_checkin_completed</x:v>
      </x:c>
      <x:c r="D1398" s="51" t="n">
        <x:v>46231</x:v>
      </x:c>
    </x:row>
    <x:row r="1399">
      <x:c r="A1399" s="50" t="str">
        <x:v>EVT001396</x:v>
      </x:c>
      <x:c r="B1399" s="50" t="str">
        <x:v>SYN0692</x:v>
      </x:c>
      <x:c r="C1399" s="50" t="str">
        <x:v>day60_activity_observed</x:v>
      </x:c>
      <x:c r="D1399" s="51" t="n">
        <x:v>46271</x:v>
      </x:c>
    </x:row>
    <x:row r="1400">
      <x:c r="A1400" s="50" t="str">
        <x:v>EVT001397</x:v>
      </x:c>
      <x:c r="B1400" s="50" t="str">
        <x:v>SYN0693</x:v>
      </x:c>
      <x:c r="C1400" s="50" t="str">
        <x:v>coach_contact_completed</x:v>
      </x:c>
      <x:c r="D1400" s="51" t="n">
        <x:v>46127</x:v>
      </x:c>
    </x:row>
    <x:row r="1401">
      <x:c r="A1401" s="50" t="str">
        <x:v>EVT001398</x:v>
      </x:c>
      <x:c r="B1401" s="50" t="str">
        <x:v>SYN0693</x:v>
      </x:c>
      <x:c r="C1401" s="50" t="str">
        <x:v>day30_checkin_completed</x:v>
      </x:c>
      <x:c r="D1401" s="51" t="n">
        <x:v>46147</x:v>
      </x:c>
    </x:row>
    <x:row r="1402">
      <x:c r="A1402" s="50" t="str">
        <x:v>EVT001399</x:v>
      </x:c>
      <x:c r="B1402" s="50" t="str">
        <x:v>SYN0693</x:v>
      </x:c>
      <x:c r="C1402" s="50" t="str">
        <x:v>day60_activity_observed</x:v>
      </x:c>
      <x:c r="D1402" s="51" t="n">
        <x:v>46187</x:v>
      </x:c>
    </x:row>
    <x:row r="1403">
      <x:c r="A1403" s="50" t="str">
        <x:v>EVT001400</x:v>
      </x:c>
      <x:c r="B1403" s="50" t="str">
        <x:v>SYN0694</x:v>
      </x:c>
      <x:c r="C1403" s="50" t="str">
        <x:v>day60_activity_observed</x:v>
      </x:c>
      <x:c r="D1403" s="51" t="n">
        <x:v>46161</x:v>
      </x:c>
    </x:row>
    <x:row r="1404">
      <x:c r="A1404" s="50" t="str">
        <x:v>EVT001401</x:v>
      </x:c>
      <x:c r="B1404" s="50" t="str">
        <x:v>SYN0695</x:v>
      </x:c>
      <x:c r="C1404" s="50" t="str">
        <x:v>coach_contact_completed</x:v>
      </x:c>
      <x:c r="D1404" s="51" t="n">
        <x:v>46249</x:v>
      </x:c>
    </x:row>
    <x:row r="1405">
      <x:c r="A1405" s="50" t="str">
        <x:v>EVT001402</x:v>
      </x:c>
      <x:c r="B1405" s="50" t="str">
        <x:v>SYN0695</x:v>
      </x:c>
      <x:c r="C1405" s="50" t="str">
        <x:v>day30_checkin_completed</x:v>
      </x:c>
      <x:c r="D1405" s="51" t="n">
        <x:v>46274</x:v>
      </x:c>
    </x:row>
    <x:row r="1406">
      <x:c r="A1406" s="50" t="str">
        <x:v>EVT001403</x:v>
      </x:c>
      <x:c r="B1406" s="50" t="str">
        <x:v>SYN0696</x:v>
      </x:c>
      <x:c r="C1406" s="50" t="str">
        <x:v>coach_contact_completed</x:v>
      </x:c>
      <x:c r="D1406" s="51" t="n">
        <x:v>46196</x:v>
      </x:c>
    </x:row>
    <x:row r="1407">
      <x:c r="A1407" s="50" t="str">
        <x:v>EVT001404</x:v>
      </x:c>
      <x:c r="B1407" s="50" t="str">
        <x:v>SYN0696</x:v>
      </x:c>
      <x:c r="C1407" s="50" t="str">
        <x:v>day30_checkin_completed</x:v>
      </x:c>
      <x:c r="D1407" s="51" t="n">
        <x:v>46214</x:v>
      </x:c>
    </x:row>
    <x:row r="1408">
      <x:c r="A1408" s="50" t="str">
        <x:v>EVT001405</x:v>
      </x:c>
      <x:c r="B1408" s="50" t="str">
        <x:v>SYN0696</x:v>
      </x:c>
      <x:c r="C1408" s="50" t="str">
        <x:v>day60_activity_observed</x:v>
      </x:c>
      <x:c r="D1408" s="51" t="n">
        <x:v>46246</x:v>
      </x:c>
    </x:row>
    <x:row r="1409">
      <x:c r="A1409" s="50" t="str">
        <x:v>EVT001406</x:v>
      </x:c>
      <x:c r="B1409" s="50" t="str">
        <x:v>SYN0697</x:v>
      </x:c>
      <x:c r="C1409" s="50" t="str">
        <x:v>coach_contact_completed</x:v>
      </x:c>
      <x:c r="D1409" s="51" t="n">
        <x:v>46168</x:v>
      </x:c>
    </x:row>
    <x:row r="1410">
      <x:c r="A1410" s="50" t="str">
        <x:v>EVT001407</x:v>
      </x:c>
      <x:c r="B1410" s="50" t="str">
        <x:v>SYN0697</x:v>
      </x:c>
      <x:c r="C1410" s="50" t="str">
        <x:v>day30_checkin_completed</x:v>
      </x:c>
      <x:c r="D1410" s="51" t="n">
        <x:v>46202</x:v>
      </x:c>
    </x:row>
    <x:row r="1411">
      <x:c r="A1411" s="50" t="str">
        <x:v>EVT001408</x:v>
      </x:c>
      <x:c r="B1411" s="50" t="str">
        <x:v>SYN0697</x:v>
      </x:c>
      <x:c r="C1411" s="50" t="str">
        <x:v>day60_activity_observed</x:v>
      </x:c>
      <x:c r="D1411" s="51" t="n">
        <x:v>46228</x:v>
      </x:c>
    </x:row>
    <x:row r="1412">
      <x:c r="A1412" s="50" t="str">
        <x:v>EVT001409</x:v>
      </x:c>
      <x:c r="B1412" s="50" t="str">
        <x:v>SYN0698</x:v>
      </x:c>
      <x:c r="C1412" s="50" t="str">
        <x:v>coach_contact_completed</x:v>
      </x:c>
      <x:c r="D1412" s="51" t="n">
        <x:v>46188</x:v>
      </x:c>
    </x:row>
    <x:row r="1413">
      <x:c r="A1413" s="50" t="str">
        <x:v>EVT001410</x:v>
      </x:c>
      <x:c r="B1413" s="50" t="str">
        <x:v>SYN0698</x:v>
      </x:c>
      <x:c r="C1413" s="50" t="str">
        <x:v>day30_checkin_completed</x:v>
      </x:c>
      <x:c r="D1413" s="51" t="n">
        <x:v>46210</x:v>
      </x:c>
    </x:row>
    <x:row r="1414">
      <x:c r="A1414" s="50" t="str">
        <x:v>EVT001411</x:v>
      </x:c>
      <x:c r="B1414" s="50" t="str">
        <x:v>SYN0698</x:v>
      </x:c>
      <x:c r="C1414" s="50" t="str">
        <x:v>day60_activity_observed</x:v>
      </x:c>
      <x:c r="D1414" s="51" t="n">
        <x:v>46238</x:v>
      </x:c>
    </x:row>
    <x:row r="1415">
      <x:c r="A1415" s="50" t="str">
        <x:v>EVT001412</x:v>
      </x:c>
      <x:c r="B1415" s="50" t="str">
        <x:v>SYN0699</x:v>
      </x:c>
      <x:c r="C1415" s="50" t="str">
        <x:v>coach_contact_completed</x:v>
      </x:c>
      <x:c r="D1415" s="51" t="n">
        <x:v>46265</x:v>
      </x:c>
    </x:row>
    <x:row r="1416">
      <x:c r="A1416" s="50" t="str">
        <x:v>EVT001413</x:v>
      </x:c>
      <x:c r="B1416" s="50" t="str">
        <x:v>SYN0700</x:v>
      </x:c>
      <x:c r="C1416" s="50" t="str">
        <x:v>coach_contact_completed</x:v>
      </x:c>
      <x:c r="D1416" s="51" t="n">
        <x:v>46205</x:v>
      </x:c>
    </x:row>
    <x:row r="1417">
      <x:c r="A1417" s="50" t="str">
        <x:v>EVT001414</x:v>
      </x:c>
      <x:c r="B1417" s="50" t="str">
        <x:v>SYN0700</x:v>
      </x:c>
      <x:c r="C1417" s="50" t="str">
        <x:v>day30_checkin_completed</x:v>
      </x:c>
      <x:c r="D1417" s="51" t="n">
        <x:v>46239</x:v>
      </x:c>
    </x:row>
    <x:row r="1418">
      <x:c r="A1418" s="50" t="str">
        <x:v>EVT001415</x:v>
      </x:c>
      <x:c r="B1418" s="50" t="str">
        <x:v>SYN0700</x:v>
      </x:c>
      <x:c r="C1418" s="50" t="str">
        <x:v>day60_activity_observed</x:v>
      </x:c>
      <x:c r="D1418" s="51" t="n">
        <x:v>46270</x:v>
      </x:c>
    </x:row>
    <x:row r="1419">
      <x:c r="A1419" s="50" t="str">
        <x:v>EVT001416</x:v>
      </x:c>
      <x:c r="B1419" s="50" t="str">
        <x:v>SYN0701</x:v>
      </x:c>
      <x:c r="C1419" s="50" t="str">
        <x:v>coach_contact_completed</x:v>
      </x:c>
      <x:c r="D1419" s="51" t="n">
        <x:v>46264</x:v>
      </x:c>
    </x:row>
    <x:row r="1420">
      <x:c r="A1420" s="50" t="str">
        <x:v>EVT001417</x:v>
      </x:c>
      <x:c r="B1420" s="50" t="str">
        <x:v>SYN0701</x:v>
      </x:c>
      <x:c r="C1420" s="50" t="str">
        <x:v>day30_checkin_completed</x:v>
      </x:c>
      <x:c r="D1420" s="51" t="n">
        <x:v>46289</x:v>
      </x:c>
    </x:row>
    <x:row r="1421">
      <x:c r="A1421" s="50" t="str">
        <x:v>EVT001418</x:v>
      </x:c>
      <x:c r="B1421" s="50" t="str">
        <x:v>SYN0702</x:v>
      </x:c>
      <x:c r="C1421" s="50" t="str">
        <x:v>day30_checkin_completed</x:v>
      </x:c>
      <x:c r="D1421" s="51" t="n">
        <x:v>46136</x:v>
      </x:c>
    </x:row>
    <x:row r="1422">
      <x:c r="A1422" s="50" t="str">
        <x:v>EVT001419</x:v>
      </x:c>
      <x:c r="B1422" s="50" t="str">
        <x:v>SYN0703</x:v>
      </x:c>
      <x:c r="C1422" s="50" t="str">
        <x:v>coach_contact_completed</x:v>
      </x:c>
      <x:c r="D1422" s="51" t="n">
        <x:v>46228</x:v>
      </x:c>
    </x:row>
    <x:row r="1423">
      <x:c r="A1423" s="50" t="str">
        <x:v>EVT001420</x:v>
      </x:c>
      <x:c r="B1423" s="50" t="str">
        <x:v>SYN0703</x:v>
      </x:c>
      <x:c r="C1423" s="50" t="str">
        <x:v>day60_activity_observed</x:v>
      </x:c>
      <x:c r="D1423" s="51" t="n">
        <x:v>46294</x:v>
      </x:c>
    </x:row>
    <x:row r="1424">
      <x:c r="A1424" s="50" t="str">
        <x:v>EVT001421</x:v>
      </x:c>
      <x:c r="B1424" s="50" t="str">
        <x:v>SYN0704</x:v>
      </x:c>
      <x:c r="C1424" s="50" t="str">
        <x:v>coach_contact_completed</x:v>
      </x:c>
      <x:c r="D1424" s="51" t="n">
        <x:v>46102</x:v>
      </x:c>
    </x:row>
    <x:row r="1425">
      <x:c r="A1425" s="50" t="str">
        <x:v>EVT001422</x:v>
      </x:c>
      <x:c r="B1425" s="50" t="str">
        <x:v>SYN0705</x:v>
      </x:c>
      <x:c r="C1425" s="50" t="str">
        <x:v>coach_contact_completed</x:v>
      </x:c>
      <x:c r="D1425" s="51" t="n">
        <x:v>46030</x:v>
      </x:c>
    </x:row>
    <x:row r="1426">
      <x:c r="A1426" s="50" t="str">
        <x:v>EVT001423</x:v>
      </x:c>
      <x:c r="B1426" s="50" t="str">
        <x:v>SYN0705</x:v>
      </x:c>
      <x:c r="C1426" s="50" t="str">
        <x:v>day30_checkin_completed</x:v>
      </x:c>
      <x:c r="D1426" s="51" t="n">
        <x:v>46057</x:v>
      </x:c>
    </x:row>
    <x:row r="1427">
      <x:c r="A1427" s="50" t="str">
        <x:v>EVT001424</x:v>
      </x:c>
      <x:c r="B1427" s="50" t="str">
        <x:v>SYN0706</x:v>
      </x:c>
      <x:c r="C1427" s="50" t="str">
        <x:v>coach_contact_completed</x:v>
      </x:c>
      <x:c r="D1427" s="51" t="n">
        <x:v>46084</x:v>
      </x:c>
    </x:row>
    <x:row r="1428">
      <x:c r="A1428" s="50" t="str">
        <x:v>EVT001425</x:v>
      </x:c>
      <x:c r="B1428" s="50" t="str">
        <x:v>SYN0706</x:v>
      </x:c>
      <x:c r="C1428" s="50" t="str">
        <x:v>day30_checkin_completed</x:v>
      </x:c>
      <x:c r="D1428" s="51" t="n">
        <x:v>46115</x:v>
      </x:c>
    </x:row>
    <x:row r="1429">
      <x:c r="A1429" s="50" t="str">
        <x:v>EVT001426</x:v>
      </x:c>
      <x:c r="B1429" s="50" t="str">
        <x:v>SYN0706</x:v>
      </x:c>
      <x:c r="C1429" s="50" t="str">
        <x:v>day60_activity_observed</x:v>
      </x:c>
      <x:c r="D1429" s="51" t="n">
        <x:v>46148</x:v>
      </x:c>
    </x:row>
    <x:row r="1430">
      <x:c r="A1430" s="50" t="str">
        <x:v>EVT001427</x:v>
      </x:c>
      <x:c r="B1430" s="50" t="str">
        <x:v>SYN0707</x:v>
      </x:c>
      <x:c r="C1430" s="50" t="str">
        <x:v>coach_contact_completed</x:v>
      </x:c>
      <x:c r="D1430" s="51" t="n">
        <x:v>46097</x:v>
      </x:c>
    </x:row>
    <x:row r="1431">
      <x:c r="A1431" s="50" t="str">
        <x:v>EVT001428</x:v>
      </x:c>
      <x:c r="B1431" s="50" t="str">
        <x:v>SYN0707</x:v>
      </x:c>
      <x:c r="C1431" s="50" t="str">
        <x:v>day60_activity_observed</x:v>
      </x:c>
      <x:c r="D1431" s="51" t="n">
        <x:v>46149</x:v>
      </x:c>
    </x:row>
    <x:row r="1432">
      <x:c r="A1432" s="50" t="str">
        <x:v>EVT001429</x:v>
      </x:c>
      <x:c r="B1432" s="50" t="str">
        <x:v>SYN0708</x:v>
      </x:c>
      <x:c r="C1432" s="50" t="str">
        <x:v>coach_contact_completed</x:v>
      </x:c>
      <x:c r="D1432" s="51" t="n">
        <x:v>46213</x:v>
      </x:c>
    </x:row>
    <x:row r="1433">
      <x:c r="A1433" s="50" t="str">
        <x:v>EVT001430</x:v>
      </x:c>
      <x:c r="B1433" s="50" t="str">
        <x:v>SYN0708</x:v>
      </x:c>
      <x:c r="C1433" s="50" t="str">
        <x:v>day30_checkin_completed</x:v>
      </x:c>
      <x:c r="D1433" s="51" t="n">
        <x:v>46245</x:v>
      </x:c>
    </x:row>
    <x:row r="1434">
      <x:c r="A1434" s="50" t="str">
        <x:v>EVT001431</x:v>
      </x:c>
      <x:c r="B1434" s="50" t="str">
        <x:v>SYN0708</x:v>
      </x:c>
      <x:c r="C1434" s="50" t="str">
        <x:v>day60_activity_observed</x:v>
      </x:c>
      <x:c r="D1434" s="51" t="n">
        <x:v>46285</x:v>
      </x:c>
    </x:row>
    <x:row r="1435">
      <x:c r="A1435" s="50" t="str">
        <x:v>EVT001432</x:v>
      </x:c>
      <x:c r="B1435" s="50" t="str">
        <x:v>SYN0709</x:v>
      </x:c>
      <x:c r="C1435" s="50" t="str">
        <x:v>day30_checkin_completed</x:v>
      </x:c>
      <x:c r="D1435" s="51" t="n">
        <x:v>46288</x:v>
      </x:c>
    </x:row>
    <x:row r="1436">
      <x:c r="A1436" s="50" t="str">
        <x:v>EVT001433</x:v>
      </x:c>
      <x:c r="B1436" s="50" t="str">
        <x:v>SYN0710</x:v>
      </x:c>
      <x:c r="C1436" s="50" t="str">
        <x:v>day30_checkin_completed</x:v>
      </x:c>
      <x:c r="D1436" s="51" t="n">
        <x:v>46136</x:v>
      </x:c>
    </x:row>
    <x:row r="1437">
      <x:c r="A1437" s="50" t="str">
        <x:v>EVT001434</x:v>
      </x:c>
      <x:c r="B1437" s="50" t="str">
        <x:v>SYN0710</x:v>
      </x:c>
      <x:c r="C1437" s="50" t="str">
        <x:v>day60_activity_observed</x:v>
      </x:c>
      <x:c r="D1437" s="51" t="n">
        <x:v>46173</x:v>
      </x:c>
    </x:row>
    <x:row r="1438">
      <x:c r="A1438" s="50" t="str">
        <x:v>EVT001435</x:v>
      </x:c>
      <x:c r="B1438" s="50" t="str">
        <x:v>SYN0711</x:v>
      </x:c>
      <x:c r="C1438" s="50" t="str">
        <x:v>day30_checkin_completed</x:v>
      </x:c>
      <x:c r="D1438" s="51" t="n">
        <x:v>46258</x:v>
      </x:c>
    </x:row>
    <x:row r="1439">
      <x:c r="A1439" s="50" t="str">
        <x:v>EVT001436</x:v>
      </x:c>
      <x:c r="B1439" s="50" t="str">
        <x:v>SYN0712</x:v>
      </x:c>
      <x:c r="C1439" s="50" t="str">
        <x:v>coach_contact_completed</x:v>
      </x:c>
      <x:c r="D1439" s="51" t="n">
        <x:v>46241</x:v>
      </x:c>
    </x:row>
    <x:row r="1440">
      <x:c r="A1440" s="50" t="str">
        <x:v>EVT001437</x:v>
      </x:c>
      <x:c r="B1440" s="50" t="str">
        <x:v>SYN0712</x:v>
      </x:c>
      <x:c r="C1440" s="50" t="str">
        <x:v>day30_checkin_completed</x:v>
      </x:c>
      <x:c r="D1440" s="51" t="n">
        <x:v>46265</x:v>
      </x:c>
    </x:row>
    <x:row r="1441">
      <x:c r="A1441" s="50" t="str">
        <x:v>EVT001438</x:v>
      </x:c>
      <x:c r="B1441" s="50" t="str">
        <x:v>SYN0713</x:v>
      </x:c>
      <x:c r="C1441" s="50" t="str">
        <x:v>day30_checkin_completed</x:v>
      </x:c>
      <x:c r="D1441" s="51" t="n">
        <x:v>46256</x:v>
      </x:c>
    </x:row>
    <x:row r="1442">
      <x:c r="A1442" s="50" t="str">
        <x:v>EVT001439</x:v>
      </x:c>
      <x:c r="B1442" s="50" t="str">
        <x:v>SYN0714</x:v>
      </x:c>
      <x:c r="C1442" s="50" t="str">
        <x:v>coach_contact_completed</x:v>
      </x:c>
      <x:c r="D1442" s="51" t="n">
        <x:v>46057</x:v>
      </x:c>
    </x:row>
    <x:row r="1443">
      <x:c r="A1443" s="50" t="str">
        <x:v>EVT001440</x:v>
      </x:c>
      <x:c r="B1443" s="50" t="str">
        <x:v>SYN0714</x:v>
      </x:c>
      <x:c r="C1443" s="50" t="str">
        <x:v>day30_checkin_completed</x:v>
      </x:c>
      <x:c r="D1443" s="51" t="n">
        <x:v>46090</x:v>
      </x:c>
    </x:row>
    <x:row r="1444">
      <x:c r="A1444" s="50" t="str">
        <x:v>EVT001441</x:v>
      </x:c>
      <x:c r="B1444" s="50" t="str">
        <x:v>SYN0714</x:v>
      </x:c>
      <x:c r="C1444" s="50" t="str">
        <x:v>day60_activity_observed</x:v>
      </x:c>
      <x:c r="D1444" s="51" t="n">
        <x:v>46123</x:v>
      </x:c>
    </x:row>
    <x:row r="1445">
      <x:c r="A1445" s="50" t="str">
        <x:v>EVT001442</x:v>
      </x:c>
      <x:c r="B1445" s="50" t="str">
        <x:v>SYN0715</x:v>
      </x:c>
      <x:c r="C1445" s="50" t="str">
        <x:v>coach_contact_completed</x:v>
      </x:c>
      <x:c r="D1445" s="51" t="n">
        <x:v>46169</x:v>
      </x:c>
    </x:row>
    <x:row r="1446">
      <x:c r="A1446" s="50" t="str">
        <x:v>EVT001443</x:v>
      </x:c>
      <x:c r="B1446" s="50" t="str">
        <x:v>SYN0715</x:v>
      </x:c>
      <x:c r="C1446" s="50" t="str">
        <x:v>day30_checkin_completed</x:v>
      </x:c>
      <x:c r="D1446" s="51" t="n">
        <x:v>46193</x:v>
      </x:c>
    </x:row>
    <x:row r="1447">
      <x:c r="A1447" s="50" t="str">
        <x:v>EVT001444</x:v>
      </x:c>
      <x:c r="B1447" s="50" t="str">
        <x:v>SYN0715</x:v>
      </x:c>
      <x:c r="C1447" s="50" t="str">
        <x:v>day60_activity_observed</x:v>
      </x:c>
      <x:c r="D1447" s="51" t="n">
        <x:v>46231</x:v>
      </x:c>
    </x:row>
    <x:row r="1448">
      <x:c r="A1448" s="50" t="str">
        <x:v>EVT001445</x:v>
      </x:c>
      <x:c r="B1448" s="50" t="str">
        <x:v>SYN0716</x:v>
      </x:c>
      <x:c r="C1448" s="50" t="str">
        <x:v>coach_contact_completed</x:v>
      </x:c>
      <x:c r="D1448" s="51" t="n">
        <x:v>46232</x:v>
      </x:c>
    </x:row>
    <x:row r="1449">
      <x:c r="A1449" s="50" t="str">
        <x:v>EVT001446</x:v>
      </x:c>
      <x:c r="B1449" s="50" t="str">
        <x:v>SYN0716</x:v>
      </x:c>
      <x:c r="C1449" s="50" t="str">
        <x:v>day30_checkin_completed</x:v>
      </x:c>
      <x:c r="D1449" s="51" t="n">
        <x:v>46260</x:v>
      </x:c>
    </x:row>
    <x:row r="1450">
      <x:c r="A1450" s="50" t="str">
        <x:v>EVT001447</x:v>
      </x:c>
      <x:c r="B1450" s="50" t="str">
        <x:v>SYN0717</x:v>
      </x:c>
      <x:c r="C1450" s="50" t="str">
        <x:v>coach_contact_completed</x:v>
      </x:c>
      <x:c r="D1450" s="51" t="n">
        <x:v>46254</x:v>
      </x:c>
    </x:row>
    <x:row r="1451">
      <x:c r="A1451" s="50" t="str">
        <x:v>EVT001448</x:v>
      </x:c>
      <x:c r="B1451" s="50" t="str">
        <x:v>SYN0717</x:v>
      </x:c>
      <x:c r="C1451" s="50" t="str">
        <x:v>day30_checkin_completed</x:v>
      </x:c>
      <x:c r="D1451" s="51" t="n">
        <x:v>46285</x:v>
      </x:c>
    </x:row>
    <x:row r="1452">
      <x:c r="A1452" s="50" t="str">
        <x:v>EVT001449</x:v>
      </x:c>
      <x:c r="B1452" s="50" t="str">
        <x:v>SYN0718</x:v>
      </x:c>
      <x:c r="C1452" s="50" t="str">
        <x:v>coach_contact_completed</x:v>
      </x:c>
      <x:c r="D1452" s="51" t="n">
        <x:v>46031</x:v>
      </x:c>
    </x:row>
    <x:row r="1453">
      <x:c r="A1453" s="50" t="str">
        <x:v>EVT001450</x:v>
      </x:c>
      <x:c r="B1453" s="50" t="str">
        <x:v>SYN0719</x:v>
      </x:c>
      <x:c r="C1453" s="50" t="str">
        <x:v>coach_contact_completed</x:v>
      </x:c>
      <x:c r="D1453" s="51" t="n">
        <x:v>46060</x:v>
      </x:c>
    </x:row>
    <x:row r="1454">
      <x:c r="A1454" s="50" t="str">
        <x:v>EVT001451</x:v>
      </x:c>
      <x:c r="B1454" s="50" t="str">
        <x:v>SYN0719</x:v>
      </x:c>
      <x:c r="C1454" s="50" t="str">
        <x:v>day60_activity_observed</x:v>
      </x:c>
      <x:c r="D1454" s="51" t="n">
        <x:v>46119</x:v>
      </x:c>
    </x:row>
    <x:row r="1455">
      <x:c r="A1455" s="50" t="str">
        <x:v>EVT001452</x:v>
      </x:c>
      <x:c r="B1455" s="50" t="str">
        <x:v>SYN0720</x:v>
      </x:c>
      <x:c r="C1455" s="50" t="str">
        <x:v>coach_contact_completed</x:v>
      </x:c>
      <x:c r="D1455" s="51" t="n">
        <x:v>46138</x:v>
      </x:c>
    </x:row>
    <x:row r="1456">
      <x:c r="A1456" s="50" t="str">
        <x:v>EVT001453</x:v>
      </x:c>
      <x:c r="B1456" s="50" t="str">
        <x:v>SYN0720</x:v>
      </x:c>
      <x:c r="C1456" s="50" t="str">
        <x:v>day30_checkin_completed</x:v>
      </x:c>
      <x:c r="D1456" s="51" t="n">
        <x:v>46172</x:v>
      </x:c>
    </x:row>
  </x:sheetData>
  <x:pageMargins left="0.7" right="0.7" top="0.75" bottom="0.75" header="0.3" footer="0.3"/>
  <x:tableParts count="1">
    <x:tablePart xmlns:r="http://schemas.openxmlformats.org/officeDocument/2006/relationships" r:id="R0071ee55b2d34a8e"/>
  </x:tableParts>
</x:worksheet>
</file>